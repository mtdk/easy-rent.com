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xmtdk/"/>
    </mc:Choice>
  </mc:AlternateContent>
  <xr:revisionPtr revIDLastSave="0" documentId="13_ncr:1_{14DFDA56-A033-0140-AF3F-58E99A6EA585}" xr6:coauthVersionLast="47" xr6:coauthVersionMax="47" xr10:uidLastSave="{00000000-0000-0000-0000-000000000000}"/>
  <bookViews>
    <workbookView xWindow="0" yWindow="660" windowWidth="30240" windowHeight="17180" activeTab="22" xr2:uid="{00000000-000D-0000-FFFF-FFFF00000000}"/>
  </bookViews>
  <sheets>
    <sheet name="9-102#" sheetId="3" r:id="rId1"/>
    <sheet name="9-1-101#" sheetId="4" r:id="rId2"/>
    <sheet name="9-1-102#" sheetId="5" r:id="rId3"/>
    <sheet name="9-1-104#" sheetId="6" r:id="rId4"/>
    <sheet name="9-1-105#" sheetId="7" r:id="rId5"/>
    <sheet name="9-1-106#" sheetId="8" r:id="rId6"/>
    <sheet name="9-1-107#" sheetId="9" r:id="rId7"/>
    <sheet name="9-1-108#" sheetId="10" r:id="rId8"/>
    <sheet name="9-1-109#" sheetId="11" r:id="rId9"/>
    <sheet name="29-1#" sheetId="33" r:id="rId10"/>
    <sheet name="29-201#" sheetId="34" r:id="rId11"/>
    <sheet name="29-202#" sheetId="14" r:id="rId12"/>
    <sheet name="29-203#" sheetId="15" r:id="rId13"/>
    <sheet name="29-204#" sheetId="16" r:id="rId14"/>
    <sheet name="29-205#" sheetId="17" r:id="rId15"/>
    <sheet name="29-301#" sheetId="18" r:id="rId16"/>
    <sheet name="29-302#" sheetId="19" r:id="rId17"/>
    <sheet name="29-303#" sheetId="20" r:id="rId18"/>
    <sheet name="29-304#" sheetId="21" r:id="rId19"/>
    <sheet name="29-305#" sheetId="22" r:id="rId20"/>
    <sheet name="支出统计" sheetId="25" r:id="rId21"/>
    <sheet name="退租记录" sheetId="27" r:id="rId22"/>
    <sheet name="综合类别" sheetId="26" r:id="rId23"/>
  </sheets>
  <definedNames>
    <definedName name="_xlnm._FilterDatabase" localSheetId="9" hidden="1">'29-1#'!$A$1:$U$30</definedName>
    <definedName name="_xlnm._FilterDatabase" localSheetId="10" hidden="1">'29-201#'!$A$1:$O$2</definedName>
    <definedName name="_xlnm._FilterDatabase" localSheetId="11" hidden="1">'29-202#'!$A$1:$O$46</definedName>
    <definedName name="_xlnm._FilterDatabase" localSheetId="12" hidden="1">'29-203#'!$A$1:$O$41</definedName>
    <definedName name="_xlnm._FilterDatabase" localSheetId="13" hidden="1">'29-204#'!$A$1:$O$41</definedName>
    <definedName name="_xlnm._FilterDatabase" localSheetId="14" hidden="1">'29-205#'!$A$1:$O$41</definedName>
    <definedName name="_xlnm._FilterDatabase" localSheetId="15" hidden="1">'29-301#'!$A$1:$O$40</definedName>
    <definedName name="_xlnm._FilterDatabase" localSheetId="16" hidden="1">'29-302#'!$A$1:$O$44</definedName>
    <definedName name="_xlnm._FilterDatabase" localSheetId="17" hidden="1">'29-303#'!$A$1:$O$41</definedName>
    <definedName name="_xlnm._FilterDatabase" localSheetId="18" hidden="1">'29-304#'!$A$1:$N$33</definedName>
    <definedName name="_xlnm._FilterDatabase" localSheetId="19" hidden="1">'29-305#'!$A$1:$O$56</definedName>
    <definedName name="_xlnm._FilterDatabase" localSheetId="0" hidden="1">'9-102#'!$A$1:$P$10</definedName>
    <definedName name="_xlnm._FilterDatabase" localSheetId="1" hidden="1">'9-1-101#'!$A$1:$O$6</definedName>
    <definedName name="_xlnm._FilterDatabase" localSheetId="2" hidden="1">'9-1-102#'!$A$1:$R$12</definedName>
    <definedName name="_xlnm._FilterDatabase" localSheetId="3" hidden="1">'9-1-104#'!$A$1:$O$17</definedName>
    <definedName name="_xlnm._FilterDatabase" localSheetId="4" hidden="1">'9-1-105#'!$A$1:$O$18</definedName>
    <definedName name="_xlnm._FilterDatabase" localSheetId="5" hidden="1">'9-1-106#'!$A$1:$O$32</definedName>
    <definedName name="_xlnm._FilterDatabase" localSheetId="6" hidden="1">'9-1-107#'!$A$1:$Q$24</definedName>
    <definedName name="_xlnm._FilterDatabase" localSheetId="7" hidden="1">'9-1-108#'!$A$1:$O$30</definedName>
    <definedName name="_xlnm._FilterDatabase" localSheetId="8" hidden="1">'9-1-109#'!$A$1:$O$32</definedName>
    <definedName name="_xlnm._FilterDatabase" localSheetId="20" hidden="1">支出统计!$A$1:$D$43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1" l="1"/>
  <c r="M39" i="11"/>
  <c r="M40" i="11"/>
  <c r="I39" i="11"/>
  <c r="I40" i="11"/>
  <c r="K39" i="11"/>
  <c r="K40" i="11"/>
  <c r="H39" i="11"/>
  <c r="J39" i="11" s="1"/>
  <c r="J40" i="11" s="1"/>
  <c r="H40" i="11"/>
  <c r="L40" i="8"/>
  <c r="M39" i="8"/>
  <c r="M40" i="8"/>
  <c r="I39" i="8"/>
  <c r="I40" i="8"/>
  <c r="K39" i="8"/>
  <c r="K40" i="8"/>
  <c r="H39" i="8"/>
  <c r="J39" i="8" s="1"/>
  <c r="J40" i="8" s="1"/>
  <c r="H40" i="8"/>
  <c r="L22" i="34"/>
  <c r="M21" i="34"/>
  <c r="M22" i="34" s="1"/>
  <c r="I21" i="34"/>
  <c r="I22" i="34"/>
  <c r="K21" i="34"/>
  <c r="K22" i="34"/>
  <c r="H21" i="34"/>
  <c r="H22" i="34"/>
  <c r="J21" i="34"/>
  <c r="J22" i="34"/>
  <c r="L43" i="21"/>
  <c r="M42" i="21"/>
  <c r="I42" i="21"/>
  <c r="I43" i="21"/>
  <c r="K42" i="21"/>
  <c r="K43" i="21"/>
  <c r="H42" i="21"/>
  <c r="H43" i="21"/>
  <c r="J42" i="21"/>
  <c r="J43" i="21" s="1"/>
  <c r="L56" i="22"/>
  <c r="M55" i="22"/>
  <c r="M56" i="22"/>
  <c r="I55" i="22"/>
  <c r="I56" i="22"/>
  <c r="K55" i="22"/>
  <c r="K56" i="22"/>
  <c r="H55" i="22"/>
  <c r="H56" i="22"/>
  <c r="J55" i="22"/>
  <c r="J56" i="22" s="1"/>
  <c r="L53" i="19"/>
  <c r="M52" i="19"/>
  <c r="M53" i="19"/>
  <c r="I52" i="19"/>
  <c r="I53" i="19" s="1"/>
  <c r="H52" i="19"/>
  <c r="H53" i="19"/>
  <c r="J52" i="19"/>
  <c r="J53" i="19"/>
  <c r="L49" i="18"/>
  <c r="M48" i="18"/>
  <c r="M49" i="18"/>
  <c r="H48" i="18"/>
  <c r="H49" i="18"/>
  <c r="J48" i="18"/>
  <c r="J49" i="18"/>
  <c r="I48" i="18"/>
  <c r="K48" i="18" s="1"/>
  <c r="K49" i="18" s="1"/>
  <c r="I49" i="18"/>
  <c r="R39" i="33"/>
  <c r="S38" i="33"/>
  <c r="N38" i="33"/>
  <c r="N39" i="33"/>
  <c r="P38" i="33"/>
  <c r="O38" i="33"/>
  <c r="Q38" i="33"/>
  <c r="L50" i="17"/>
  <c r="M49" i="17"/>
  <c r="M50" i="17"/>
  <c r="I49" i="17"/>
  <c r="I50" i="17"/>
  <c r="K49" i="17"/>
  <c r="K50" i="17"/>
  <c r="H49" i="17"/>
  <c r="H50" i="17"/>
  <c r="J49" i="17"/>
  <c r="J50" i="17"/>
  <c r="L50" i="16"/>
  <c r="M49" i="16"/>
  <c r="I49" i="16"/>
  <c r="I50" i="16"/>
  <c r="K49" i="16"/>
  <c r="K50" i="16"/>
  <c r="H49" i="16"/>
  <c r="H50" i="16"/>
  <c r="J49" i="16"/>
  <c r="J50" i="16"/>
  <c r="L50" i="15"/>
  <c r="I49" i="15"/>
  <c r="K49" i="15" s="1"/>
  <c r="H49" i="15"/>
  <c r="J49" i="15"/>
  <c r="L55" i="14"/>
  <c r="M54" i="14"/>
  <c r="I54" i="14"/>
  <c r="I55" i="14"/>
  <c r="K54" i="14"/>
  <c r="K55" i="14"/>
  <c r="H54" i="14"/>
  <c r="H55" i="14"/>
  <c r="J54" i="14"/>
  <c r="J55" i="14"/>
  <c r="N33" i="9"/>
  <c r="O32" i="9"/>
  <c r="K32" i="9"/>
  <c r="K33" i="9"/>
  <c r="M32" i="9"/>
  <c r="M33" i="9"/>
  <c r="J32" i="9"/>
  <c r="L32" i="9" s="1"/>
  <c r="L33" i="9" s="1"/>
  <c r="J33" i="9"/>
  <c r="L23" i="7"/>
  <c r="M22" i="7"/>
  <c r="M23" i="7" s="1"/>
  <c r="I22" i="7"/>
  <c r="K22" i="7" s="1"/>
  <c r="K23" i="7" s="1"/>
  <c r="I23" i="7"/>
  <c r="H22" i="7"/>
  <c r="H23" i="7"/>
  <c r="J22" i="7"/>
  <c r="J23" i="7"/>
  <c r="L50" i="20"/>
  <c r="M49" i="20"/>
  <c r="M50" i="20" s="1"/>
  <c r="I49" i="20"/>
  <c r="I50" i="20"/>
  <c r="K49" i="20"/>
  <c r="K50" i="20"/>
  <c r="H49" i="20"/>
  <c r="H50" i="20"/>
  <c r="J49" i="20"/>
  <c r="J50" i="20"/>
  <c r="I41" i="21"/>
  <c r="K41" i="21" s="1"/>
  <c r="H41" i="21"/>
  <c r="C58" i="25"/>
  <c r="M51" i="19"/>
  <c r="I51" i="19"/>
  <c r="K51" i="19"/>
  <c r="H51" i="19"/>
  <c r="J51" i="19"/>
  <c r="I50" i="19"/>
  <c r="K50" i="19"/>
  <c r="H50" i="19"/>
  <c r="J50" i="19" s="1"/>
  <c r="M50" i="19" s="1"/>
  <c r="H36" i="10"/>
  <c r="H37" i="10"/>
  <c r="J36" i="10"/>
  <c r="J37" i="10"/>
  <c r="I38" i="11"/>
  <c r="K38" i="11" s="1"/>
  <c r="H38" i="11"/>
  <c r="J38" i="11" s="1"/>
  <c r="I38" i="8"/>
  <c r="K38" i="8" s="1"/>
  <c r="H38" i="8"/>
  <c r="J38" i="8" s="1"/>
  <c r="M38" i="8" s="1"/>
  <c r="I20" i="34"/>
  <c r="K20" i="34" s="1"/>
  <c r="H20" i="34"/>
  <c r="J20" i="34" s="1"/>
  <c r="I19" i="34"/>
  <c r="K19" i="34" s="1"/>
  <c r="H19" i="34"/>
  <c r="J19" i="34" s="1"/>
  <c r="I18" i="34"/>
  <c r="K18" i="34" s="1"/>
  <c r="H18" i="34"/>
  <c r="J18" i="34" s="1"/>
  <c r="M18" i="34" s="1"/>
  <c r="I17" i="34"/>
  <c r="K17" i="34" s="1"/>
  <c r="H17" i="34"/>
  <c r="J17" i="34" s="1"/>
  <c r="I16" i="34"/>
  <c r="K16" i="34" s="1"/>
  <c r="H16" i="34"/>
  <c r="J16" i="34" s="1"/>
  <c r="I15" i="34"/>
  <c r="K15" i="34" s="1"/>
  <c r="H15" i="34"/>
  <c r="J15" i="34" s="1"/>
  <c r="I14" i="34"/>
  <c r="K14" i="34" s="1"/>
  <c r="H14" i="34"/>
  <c r="J14" i="34" s="1"/>
  <c r="M14" i="34" s="1"/>
  <c r="I13" i="34"/>
  <c r="K13" i="34" s="1"/>
  <c r="H13" i="34"/>
  <c r="J13" i="34" s="1"/>
  <c r="I12" i="34"/>
  <c r="K12" i="34" s="1"/>
  <c r="H12" i="34"/>
  <c r="J12" i="34" s="1"/>
  <c r="M12" i="34" s="1"/>
  <c r="I11" i="34"/>
  <c r="K11" i="34" s="1"/>
  <c r="H11" i="34"/>
  <c r="J11" i="34" s="1"/>
  <c r="M11" i="34" s="1"/>
  <c r="I10" i="34"/>
  <c r="K10" i="34" s="1"/>
  <c r="H10" i="34"/>
  <c r="J10" i="34" s="1"/>
  <c r="I9" i="34"/>
  <c r="K9" i="34" s="1"/>
  <c r="H9" i="34"/>
  <c r="J9" i="34" s="1"/>
  <c r="M9" i="34" s="1"/>
  <c r="I8" i="34"/>
  <c r="K8" i="34" s="1"/>
  <c r="H8" i="34"/>
  <c r="J8" i="34" s="1"/>
  <c r="M8" i="34" s="1"/>
  <c r="I7" i="34"/>
  <c r="K7" i="34" s="1"/>
  <c r="H7" i="34"/>
  <c r="J7" i="34" s="1"/>
  <c r="I6" i="34"/>
  <c r="K6" i="34" s="1"/>
  <c r="H6" i="34"/>
  <c r="I5" i="34"/>
  <c r="H5" i="34"/>
  <c r="J5" i="34" s="1"/>
  <c r="I4" i="34"/>
  <c r="K4" i="34" s="1"/>
  <c r="H4" i="34"/>
  <c r="J4" i="34" s="1"/>
  <c r="M4" i="34" s="1"/>
  <c r="I3" i="34"/>
  <c r="K3" i="34" s="1"/>
  <c r="H3" i="34"/>
  <c r="J3" i="34" s="1"/>
  <c r="M54" i="22"/>
  <c r="I54" i="22"/>
  <c r="K54" i="22" s="1"/>
  <c r="H54" i="22"/>
  <c r="J54" i="22" s="1"/>
  <c r="I53" i="22"/>
  <c r="K53" i="22" s="1"/>
  <c r="H53" i="22"/>
  <c r="J53" i="22" s="1"/>
  <c r="O37" i="33"/>
  <c r="Q37" i="33" s="1"/>
  <c r="N37" i="33"/>
  <c r="P37" i="33" s="1"/>
  <c r="O36" i="33"/>
  <c r="Q36" i="33" s="1"/>
  <c r="N36" i="33"/>
  <c r="P36" i="33" s="1"/>
  <c r="S36" i="33" s="1"/>
  <c r="O35" i="33"/>
  <c r="Q35" i="33" s="1"/>
  <c r="N35" i="33"/>
  <c r="P35" i="33" s="1"/>
  <c r="S35" i="33" s="1"/>
  <c r="O34" i="33"/>
  <c r="Q34" i="33" s="1"/>
  <c r="N34" i="33"/>
  <c r="P34" i="33" s="1"/>
  <c r="S34" i="33" s="1"/>
  <c r="O33" i="33"/>
  <c r="Q33" i="33" s="1"/>
  <c r="N33" i="33"/>
  <c r="P33" i="33" s="1"/>
  <c r="O32" i="33"/>
  <c r="Q32" i="33" s="1"/>
  <c r="N32" i="33"/>
  <c r="P32" i="33" s="1"/>
  <c r="O31" i="33"/>
  <c r="Q31" i="33" s="1"/>
  <c r="N31" i="33"/>
  <c r="P31" i="33" s="1"/>
  <c r="O30" i="33"/>
  <c r="Q30" i="33" s="1"/>
  <c r="N30" i="33"/>
  <c r="P30" i="33" s="1"/>
  <c r="S30" i="33" s="1"/>
  <c r="O29" i="33"/>
  <c r="Q29" i="33" s="1"/>
  <c r="N29" i="33"/>
  <c r="P29" i="33" s="1"/>
  <c r="S29" i="33" s="1"/>
  <c r="O28" i="33"/>
  <c r="Q28" i="33" s="1"/>
  <c r="N28" i="33"/>
  <c r="P28" i="33" s="1"/>
  <c r="S28" i="33" s="1"/>
  <c r="O27" i="33"/>
  <c r="Q27" i="33" s="1"/>
  <c r="N27" i="33"/>
  <c r="P27" i="33" s="1"/>
  <c r="O26" i="33"/>
  <c r="Q26" i="33" s="1"/>
  <c r="N26" i="33"/>
  <c r="P26" i="33" s="1"/>
  <c r="O25" i="33"/>
  <c r="Q25" i="33" s="1"/>
  <c r="N25" i="33"/>
  <c r="P25" i="33" s="1"/>
  <c r="O24" i="33"/>
  <c r="Q24" i="33" s="1"/>
  <c r="N24" i="33"/>
  <c r="P24" i="33" s="1"/>
  <c r="S24" i="33" s="1"/>
  <c r="O23" i="33"/>
  <c r="Q23" i="33" s="1"/>
  <c r="N23" i="33"/>
  <c r="P23" i="33" s="1"/>
  <c r="S23" i="33" s="1"/>
  <c r="O22" i="33"/>
  <c r="Q22" i="33" s="1"/>
  <c r="N22" i="33"/>
  <c r="P22" i="33" s="1"/>
  <c r="S22" i="33" s="1"/>
  <c r="O21" i="33"/>
  <c r="Q21" i="33" s="1"/>
  <c r="N21" i="33"/>
  <c r="P21" i="33" s="1"/>
  <c r="O20" i="33"/>
  <c r="Q20" i="33" s="1"/>
  <c r="N20" i="33"/>
  <c r="P20" i="33" s="1"/>
  <c r="O19" i="33"/>
  <c r="Q19" i="33" s="1"/>
  <c r="N19" i="33"/>
  <c r="P19" i="33" s="1"/>
  <c r="O18" i="33"/>
  <c r="Q18" i="33" s="1"/>
  <c r="N18" i="33"/>
  <c r="P18" i="33" s="1"/>
  <c r="S18" i="33" s="1"/>
  <c r="O17" i="33"/>
  <c r="Q17" i="33" s="1"/>
  <c r="N17" i="33"/>
  <c r="P17" i="33" s="1"/>
  <c r="S17" i="33" s="1"/>
  <c r="O16" i="33"/>
  <c r="Q16" i="33" s="1"/>
  <c r="N16" i="33"/>
  <c r="P16" i="33" s="1"/>
  <c r="S16" i="33" s="1"/>
  <c r="O15" i="33"/>
  <c r="Q15" i="33" s="1"/>
  <c r="N15" i="33"/>
  <c r="P15" i="33" s="1"/>
  <c r="O14" i="33"/>
  <c r="Q14" i="33" s="1"/>
  <c r="N14" i="33"/>
  <c r="P14" i="33" s="1"/>
  <c r="O13" i="33"/>
  <c r="Q13" i="33" s="1"/>
  <c r="N13" i="33"/>
  <c r="P13" i="33" s="1"/>
  <c r="O12" i="33"/>
  <c r="Q12" i="33" s="1"/>
  <c r="N12" i="33"/>
  <c r="P12" i="33" s="1"/>
  <c r="S12" i="33" s="1"/>
  <c r="O11" i="33"/>
  <c r="Q11" i="33" s="1"/>
  <c r="N11" i="33"/>
  <c r="P11" i="33" s="1"/>
  <c r="S11" i="33" s="1"/>
  <c r="O10" i="33"/>
  <c r="Q10" i="33" s="1"/>
  <c r="N10" i="33"/>
  <c r="P10" i="33" s="1"/>
  <c r="S10" i="33" s="1"/>
  <c r="O9" i="33"/>
  <c r="Q9" i="33" s="1"/>
  <c r="N9" i="33"/>
  <c r="P9" i="33" s="1"/>
  <c r="O8" i="33"/>
  <c r="Q8" i="33" s="1"/>
  <c r="N8" i="33"/>
  <c r="P8" i="33" s="1"/>
  <c r="O7" i="33"/>
  <c r="Q7" i="33" s="1"/>
  <c r="N7" i="33"/>
  <c r="P7" i="33" s="1"/>
  <c r="O6" i="33"/>
  <c r="Q6" i="33" s="1"/>
  <c r="N6" i="33"/>
  <c r="P6" i="33" s="1"/>
  <c r="O5" i="33"/>
  <c r="Q5" i="33" s="1"/>
  <c r="N5" i="33"/>
  <c r="P5" i="33" s="1"/>
  <c r="S5" i="33" s="1"/>
  <c r="O4" i="33"/>
  <c r="Q4" i="33" s="1"/>
  <c r="N4" i="33"/>
  <c r="P4" i="33" s="1"/>
  <c r="O3" i="33"/>
  <c r="N3" i="33"/>
  <c r="M48" i="20"/>
  <c r="I48" i="20"/>
  <c r="K48" i="20"/>
  <c r="H48" i="20"/>
  <c r="J48" i="20" s="1"/>
  <c r="I47" i="18"/>
  <c r="K47" i="18" s="1"/>
  <c r="H47" i="18"/>
  <c r="J47" i="18" s="1"/>
  <c r="M47" i="18" s="1"/>
  <c r="L37" i="10"/>
  <c r="I36" i="10"/>
  <c r="K36" i="10" s="1"/>
  <c r="M36" i="10" s="1"/>
  <c r="M37" i="10" s="1"/>
  <c r="I35" i="10"/>
  <c r="K35" i="10" s="1"/>
  <c r="H35" i="10"/>
  <c r="J35" i="10" s="1"/>
  <c r="I53" i="14"/>
  <c r="K53" i="14" s="1"/>
  <c r="H53" i="14"/>
  <c r="J53" i="14" s="1"/>
  <c r="I48" i="15"/>
  <c r="K48" i="15" s="1"/>
  <c r="H48" i="15"/>
  <c r="J48" i="15" s="1"/>
  <c r="M48" i="16"/>
  <c r="I48" i="16"/>
  <c r="K48" i="16" s="1"/>
  <c r="H48" i="16"/>
  <c r="J48" i="16"/>
  <c r="M48" i="17"/>
  <c r="I48" i="17"/>
  <c r="K48" i="17" s="1"/>
  <c r="H48" i="17"/>
  <c r="J48" i="17"/>
  <c r="O31" i="9"/>
  <c r="K31" i="9"/>
  <c r="M31" i="9"/>
  <c r="J31" i="9"/>
  <c r="L31" i="9" s="1"/>
  <c r="C15" i="27"/>
  <c r="I40" i="21"/>
  <c r="K40" i="21"/>
  <c r="M40" i="21" s="1"/>
  <c r="H40" i="21"/>
  <c r="J40" i="21" s="1"/>
  <c r="H46" i="18"/>
  <c r="J46" i="18" s="1"/>
  <c r="I46" i="18"/>
  <c r="K46" i="18" s="1"/>
  <c r="H47" i="16"/>
  <c r="J47" i="16" s="1"/>
  <c r="H47" i="15"/>
  <c r="J47" i="15" s="1"/>
  <c r="H52" i="14"/>
  <c r="J52" i="14" s="1"/>
  <c r="H47" i="17"/>
  <c r="J47" i="17" s="1"/>
  <c r="M47" i="17" s="1"/>
  <c r="I47" i="17"/>
  <c r="K47" i="17" s="1"/>
  <c r="I47" i="16"/>
  <c r="K47" i="16" s="1"/>
  <c r="M47" i="16" s="1"/>
  <c r="I47" i="15"/>
  <c r="K47" i="15" s="1"/>
  <c r="I52" i="14"/>
  <c r="K52" i="14" s="1"/>
  <c r="K30" i="9"/>
  <c r="M30" i="9" s="1"/>
  <c r="J30" i="9"/>
  <c r="L30" i="9" s="1"/>
  <c r="O30" i="9" s="1"/>
  <c r="I39" i="21"/>
  <c r="K39" i="21" s="1"/>
  <c r="H39" i="21"/>
  <c r="J39" i="21"/>
  <c r="M39" i="21" s="1"/>
  <c r="I45" i="18"/>
  <c r="K45" i="18" s="1"/>
  <c r="H45" i="18"/>
  <c r="J45" i="18" s="1"/>
  <c r="I47" i="20"/>
  <c r="K47" i="20" s="1"/>
  <c r="H47" i="20"/>
  <c r="J47" i="20" s="1"/>
  <c r="M47" i="20" s="1"/>
  <c r="I46" i="20"/>
  <c r="K46" i="20" s="1"/>
  <c r="H46" i="20"/>
  <c r="J46" i="20" s="1"/>
  <c r="M46" i="20" s="1"/>
  <c r="I37" i="11"/>
  <c r="K37" i="11"/>
  <c r="H37" i="11"/>
  <c r="J37" i="11" s="1"/>
  <c r="M37" i="11" s="1"/>
  <c r="I37" i="8"/>
  <c r="K37" i="8" s="1"/>
  <c r="H37" i="8"/>
  <c r="J37" i="8" s="1"/>
  <c r="M37" i="8" s="1"/>
  <c r="I21" i="7"/>
  <c r="K21" i="7" s="1"/>
  <c r="H21" i="7"/>
  <c r="J21" i="7"/>
  <c r="M21" i="7" s="1"/>
  <c r="I52" i="22"/>
  <c r="K52" i="22" s="1"/>
  <c r="H52" i="22"/>
  <c r="J52" i="22" s="1"/>
  <c r="I38" i="21"/>
  <c r="K38" i="21" s="1"/>
  <c r="H38" i="21"/>
  <c r="J38" i="21" s="1"/>
  <c r="M38" i="21" s="1"/>
  <c r="I51" i="22"/>
  <c r="K51" i="22" s="1"/>
  <c r="H51" i="22"/>
  <c r="J51" i="22" s="1"/>
  <c r="L10" i="3"/>
  <c r="M9" i="3"/>
  <c r="M10" i="3"/>
  <c r="N15" i="5"/>
  <c r="O14" i="5"/>
  <c r="O15" i="5"/>
  <c r="K14" i="5"/>
  <c r="K15" i="5"/>
  <c r="M14" i="5"/>
  <c r="M15" i="5"/>
  <c r="J14" i="5"/>
  <c r="J15" i="5" s="1"/>
  <c r="I9" i="3"/>
  <c r="K9" i="3" s="1"/>
  <c r="K10" i="3" s="1"/>
  <c r="I10" i="3"/>
  <c r="H9" i="3"/>
  <c r="H10" i="3" s="1"/>
  <c r="I49" i="19"/>
  <c r="K49" i="19" s="1"/>
  <c r="H49" i="19"/>
  <c r="J49" i="19" s="1"/>
  <c r="H46" i="17"/>
  <c r="J46" i="17" s="1"/>
  <c r="H46" i="16"/>
  <c r="J46" i="16" s="1"/>
  <c r="H46" i="15"/>
  <c r="J46" i="15" s="1"/>
  <c r="H51" i="14"/>
  <c r="J51" i="14" s="1"/>
  <c r="I46" i="15"/>
  <c r="K46" i="15" s="1"/>
  <c r="I51" i="14"/>
  <c r="K51" i="14"/>
  <c r="I46" i="17"/>
  <c r="K46" i="17" s="1"/>
  <c r="I46" i="16"/>
  <c r="K46" i="16" s="1"/>
  <c r="K29" i="9"/>
  <c r="M29" i="9" s="1"/>
  <c r="J29" i="9"/>
  <c r="L29" i="9" s="1"/>
  <c r="O29" i="9" s="1"/>
  <c r="I34" i="10"/>
  <c r="K34" i="10" s="1"/>
  <c r="H34" i="10"/>
  <c r="J34" i="10" s="1"/>
  <c r="H36" i="11"/>
  <c r="J36" i="11" s="1"/>
  <c r="M36" i="11" s="1"/>
  <c r="I36" i="11"/>
  <c r="K36" i="11" s="1"/>
  <c r="I36" i="8"/>
  <c r="K36" i="8" s="1"/>
  <c r="H36" i="8"/>
  <c r="J36" i="8"/>
  <c r="I37" i="21"/>
  <c r="K37" i="21" s="1"/>
  <c r="H37" i="21"/>
  <c r="J37" i="21" s="1"/>
  <c r="I48" i="19"/>
  <c r="K48" i="19" s="1"/>
  <c r="H48" i="19"/>
  <c r="J48" i="19" s="1"/>
  <c r="M48" i="19" s="1"/>
  <c r="I44" i="18"/>
  <c r="K44" i="18" s="1"/>
  <c r="H44" i="18"/>
  <c r="J44" i="18" s="1"/>
  <c r="M44" i="18" s="1"/>
  <c r="I47" i="19"/>
  <c r="K47" i="19" s="1"/>
  <c r="H47" i="19"/>
  <c r="J47" i="19" s="1"/>
  <c r="M47" i="19" s="1"/>
  <c r="I43" i="18"/>
  <c r="K43" i="18" s="1"/>
  <c r="H43" i="18"/>
  <c r="J43" i="18" s="1"/>
  <c r="I45" i="17"/>
  <c r="K45" i="17" s="1"/>
  <c r="I45" i="16"/>
  <c r="K45" i="16" s="1"/>
  <c r="I45" i="15"/>
  <c r="K45" i="15" s="1"/>
  <c r="I50" i="14"/>
  <c r="K50" i="14" s="1"/>
  <c r="H45" i="17"/>
  <c r="J45" i="17" s="1"/>
  <c r="H45" i="15"/>
  <c r="J45" i="15" s="1"/>
  <c r="H50" i="14"/>
  <c r="J50" i="14" s="1"/>
  <c r="H45" i="16"/>
  <c r="J45" i="16" s="1"/>
  <c r="J28" i="9"/>
  <c r="L28" i="9" s="1"/>
  <c r="K28" i="9"/>
  <c r="M28" i="9" s="1"/>
  <c r="I45" i="20"/>
  <c r="K45" i="20" s="1"/>
  <c r="H45" i="20"/>
  <c r="J45" i="20" s="1"/>
  <c r="I33" i="10"/>
  <c r="K33" i="10" s="1"/>
  <c r="H33" i="10"/>
  <c r="J33" i="10" s="1"/>
  <c r="H35" i="11"/>
  <c r="J35" i="11" s="1"/>
  <c r="I35" i="11"/>
  <c r="K35" i="11" s="1"/>
  <c r="I35" i="8"/>
  <c r="K35" i="8" s="1"/>
  <c r="H35" i="8"/>
  <c r="J35" i="8" s="1"/>
  <c r="M35" i="8" s="1"/>
  <c r="I20" i="7"/>
  <c r="K20" i="7" s="1"/>
  <c r="H20" i="7"/>
  <c r="J20" i="7" s="1"/>
  <c r="I50" i="22"/>
  <c r="K50" i="22" s="1"/>
  <c r="H50" i="22"/>
  <c r="J50" i="22" s="1"/>
  <c r="I36" i="21"/>
  <c r="K36" i="21" s="1"/>
  <c r="H36" i="21"/>
  <c r="J36" i="21" s="1"/>
  <c r="H49" i="14"/>
  <c r="J49" i="14" s="1"/>
  <c r="H44" i="17"/>
  <c r="J44" i="17" s="1"/>
  <c r="H44" i="16"/>
  <c r="J44" i="16" s="1"/>
  <c r="H44" i="15"/>
  <c r="J44" i="15" s="1"/>
  <c r="I44" i="15"/>
  <c r="K44" i="15" s="1"/>
  <c r="I49" i="14"/>
  <c r="K49" i="14" s="1"/>
  <c r="I44" i="17"/>
  <c r="K44" i="17" s="1"/>
  <c r="I44" i="16"/>
  <c r="K44" i="16" s="1"/>
  <c r="J27" i="9"/>
  <c r="L27" i="9" s="1"/>
  <c r="K27" i="9"/>
  <c r="M27" i="9" s="1"/>
  <c r="I44" i="20"/>
  <c r="K44" i="20" s="1"/>
  <c r="H44" i="20"/>
  <c r="J44" i="20" s="1"/>
  <c r="I32" i="10"/>
  <c r="K32" i="10" s="1"/>
  <c r="H32" i="10"/>
  <c r="J32" i="10" s="1"/>
  <c r="I34" i="11"/>
  <c r="K34" i="11" s="1"/>
  <c r="H34" i="11"/>
  <c r="J34" i="11" s="1"/>
  <c r="I34" i="8"/>
  <c r="K34" i="8" s="1"/>
  <c r="H34" i="8"/>
  <c r="J34" i="8" s="1"/>
  <c r="I49" i="22"/>
  <c r="K49" i="22" s="1"/>
  <c r="H49" i="22"/>
  <c r="J49" i="22" s="1"/>
  <c r="I35" i="21"/>
  <c r="K35" i="21" s="1"/>
  <c r="H35" i="21"/>
  <c r="J35" i="21" s="1"/>
  <c r="I34" i="21"/>
  <c r="K34" i="21" s="1"/>
  <c r="H34" i="21"/>
  <c r="J34" i="21" s="1"/>
  <c r="I46" i="19"/>
  <c r="K46" i="19" s="1"/>
  <c r="H46" i="19"/>
  <c r="J46" i="19" s="1"/>
  <c r="H43" i="16"/>
  <c r="J43" i="16" s="1"/>
  <c r="H43" i="17"/>
  <c r="J43" i="17" s="1"/>
  <c r="H43" i="15"/>
  <c r="J43" i="15" s="1"/>
  <c r="H48" i="14"/>
  <c r="J48" i="14" s="1"/>
  <c r="I43" i="15"/>
  <c r="K43" i="15" s="1"/>
  <c r="I48" i="14"/>
  <c r="K48" i="14" s="1"/>
  <c r="I43" i="17"/>
  <c r="K43" i="17" s="1"/>
  <c r="I43" i="16"/>
  <c r="K43" i="16" s="1"/>
  <c r="K26" i="9"/>
  <c r="M26" i="9" s="1"/>
  <c r="J26" i="9"/>
  <c r="L26" i="9" s="1"/>
  <c r="I42" i="18"/>
  <c r="K42" i="18" s="1"/>
  <c r="H42" i="18"/>
  <c r="J42" i="18" s="1"/>
  <c r="I43" i="20"/>
  <c r="K43" i="20" s="1"/>
  <c r="H43" i="20"/>
  <c r="J43" i="20" s="1"/>
  <c r="M43" i="20" s="1"/>
  <c r="I31" i="10"/>
  <c r="K31" i="10" s="1"/>
  <c r="H31" i="10"/>
  <c r="J31" i="10" s="1"/>
  <c r="I48" i="22"/>
  <c r="K48" i="22" s="1"/>
  <c r="H48" i="22"/>
  <c r="J48" i="22" s="1"/>
  <c r="I33" i="11"/>
  <c r="K33" i="11" s="1"/>
  <c r="H33" i="11"/>
  <c r="J33" i="11"/>
  <c r="I33" i="8"/>
  <c r="K33" i="8" s="1"/>
  <c r="H33" i="8"/>
  <c r="J33" i="8" s="1"/>
  <c r="O13" i="5"/>
  <c r="K13" i="5"/>
  <c r="M13" i="5"/>
  <c r="J13" i="5"/>
  <c r="L13" i="5"/>
  <c r="M8" i="3"/>
  <c r="I8" i="3"/>
  <c r="K8" i="3" s="1"/>
  <c r="H8" i="3"/>
  <c r="J8" i="3" s="1"/>
  <c r="I19" i="7"/>
  <c r="K19" i="7" s="1"/>
  <c r="H19" i="7"/>
  <c r="J19" i="7" s="1"/>
  <c r="I45" i="19"/>
  <c r="K45" i="19" s="1"/>
  <c r="H45" i="19"/>
  <c r="J45" i="19" s="1"/>
  <c r="H42" i="17"/>
  <c r="J42" i="17" s="1"/>
  <c r="I42" i="17"/>
  <c r="K42" i="17" s="1"/>
  <c r="I42" i="16"/>
  <c r="K42" i="16" s="1"/>
  <c r="I42" i="15"/>
  <c r="K42" i="15" s="1"/>
  <c r="H42" i="15"/>
  <c r="J42" i="15" s="1"/>
  <c r="I47" i="14"/>
  <c r="K47" i="14" s="1"/>
  <c r="K25" i="9"/>
  <c r="M25" i="9" s="1"/>
  <c r="J25" i="9"/>
  <c r="L25" i="9" s="1"/>
  <c r="H42" i="16"/>
  <c r="J42" i="16" s="1"/>
  <c r="H47" i="14"/>
  <c r="J47" i="14" s="1"/>
  <c r="I41" i="18"/>
  <c r="K41" i="18" s="1"/>
  <c r="H41" i="18"/>
  <c r="J41" i="18" s="1"/>
  <c r="I47" i="22"/>
  <c r="K47" i="22" s="1"/>
  <c r="H47" i="22"/>
  <c r="J47" i="22" s="1"/>
  <c r="I42" i="20"/>
  <c r="K42" i="20" s="1"/>
  <c r="H42" i="20"/>
  <c r="J42" i="20" s="1"/>
  <c r="H3" i="10"/>
  <c r="J3" i="10" s="1"/>
  <c r="I3" i="10"/>
  <c r="K3" i="6"/>
  <c r="K4" i="6"/>
  <c r="K5" i="6"/>
  <c r="K7" i="6"/>
  <c r="K8" i="6"/>
  <c r="M38" i="11" l="1"/>
  <c r="M36" i="8"/>
  <c r="M20" i="34"/>
  <c r="M17" i="34"/>
  <c r="M13" i="34"/>
  <c r="K52" i="19"/>
  <c r="K53" i="19" s="1"/>
  <c r="M49" i="19"/>
  <c r="M45" i="18"/>
  <c r="M46" i="18"/>
  <c r="S9" i="33"/>
  <c r="S15" i="33"/>
  <c r="S21" i="33"/>
  <c r="S27" i="33"/>
  <c r="S33" i="33"/>
  <c r="S13" i="33"/>
  <c r="S19" i="33"/>
  <c r="S31" i="33"/>
  <c r="S37" i="33"/>
  <c r="S8" i="33"/>
  <c r="S14" i="33"/>
  <c r="S20" i="33"/>
  <c r="S26" i="33"/>
  <c r="S32" i="33"/>
  <c r="M49" i="15"/>
  <c r="M47" i="15"/>
  <c r="M45" i="15"/>
  <c r="M48" i="15"/>
  <c r="M53" i="14"/>
  <c r="M52" i="14"/>
  <c r="J41" i="21"/>
  <c r="M34" i="10"/>
  <c r="M35" i="10"/>
  <c r="M3" i="34"/>
  <c r="M10" i="34"/>
  <c r="M19" i="34"/>
  <c r="J6" i="34"/>
  <c r="K5" i="34"/>
  <c r="M16" i="34"/>
  <c r="M7" i="34"/>
  <c r="M15" i="34"/>
  <c r="M52" i="22"/>
  <c r="M53" i="22"/>
  <c r="M47" i="22"/>
  <c r="M51" i="22"/>
  <c r="M50" i="22"/>
  <c r="M49" i="22"/>
  <c r="S4" i="33"/>
  <c r="S7" i="33"/>
  <c r="S6" i="33"/>
  <c r="S25" i="33"/>
  <c r="O39" i="33"/>
  <c r="Q3" i="33"/>
  <c r="Q39" i="33" s="1"/>
  <c r="P3" i="33"/>
  <c r="M45" i="20"/>
  <c r="M43" i="18"/>
  <c r="M32" i="10"/>
  <c r="M33" i="10"/>
  <c r="M50" i="14"/>
  <c r="M45" i="17"/>
  <c r="M43" i="15"/>
  <c r="M37" i="21"/>
  <c r="M42" i="18"/>
  <c r="M44" i="20"/>
  <c r="M35" i="11"/>
  <c r="M33" i="11"/>
  <c r="M34" i="11"/>
  <c r="M34" i="8"/>
  <c r="M19" i="7"/>
  <c r="M20" i="7"/>
  <c r="M36" i="21"/>
  <c r="M48" i="22"/>
  <c r="L14" i="5"/>
  <c r="L15" i="5" s="1"/>
  <c r="J9" i="3"/>
  <c r="J10" i="3" s="1"/>
  <c r="M45" i="19"/>
  <c r="M46" i="17"/>
  <c r="M46" i="16"/>
  <c r="M46" i="15"/>
  <c r="M51" i="14"/>
  <c r="M47" i="14"/>
  <c r="M48" i="14"/>
  <c r="M45" i="16"/>
  <c r="M44" i="16"/>
  <c r="O26" i="9"/>
  <c r="O28" i="9"/>
  <c r="O27" i="9"/>
  <c r="M31" i="10"/>
  <c r="M46" i="19"/>
  <c r="M41" i="18"/>
  <c r="M49" i="14"/>
  <c r="M33" i="8"/>
  <c r="M35" i="21"/>
  <c r="M34" i="21"/>
  <c r="M44" i="17"/>
  <c r="M44" i="15"/>
  <c r="M43" i="17"/>
  <c r="M43" i="16"/>
  <c r="M42" i="20"/>
  <c r="K3" i="10"/>
  <c r="M42" i="16"/>
  <c r="M42" i="17"/>
  <c r="M42" i="15"/>
  <c r="O25" i="9"/>
  <c r="H8" i="6"/>
  <c r="I8" i="6"/>
  <c r="J8" i="6"/>
  <c r="M8" i="6" s="1"/>
  <c r="H9" i="6"/>
  <c r="I9" i="6"/>
  <c r="K9" i="6" s="1"/>
  <c r="J9" i="6"/>
  <c r="H10" i="6"/>
  <c r="I10" i="6"/>
  <c r="K10" i="6" s="1"/>
  <c r="M10" i="6" s="1"/>
  <c r="J10" i="6"/>
  <c r="H11" i="6"/>
  <c r="J11" i="6" s="1"/>
  <c r="M11" i="6" s="1"/>
  <c r="I11" i="6"/>
  <c r="K11" i="6"/>
  <c r="H12" i="6"/>
  <c r="J12" i="6" s="1"/>
  <c r="M12" i="6" s="1"/>
  <c r="I12" i="6"/>
  <c r="K12" i="6" s="1"/>
  <c r="H13" i="8"/>
  <c r="J13" i="8" s="1"/>
  <c r="H3" i="8"/>
  <c r="I3" i="8"/>
  <c r="H4" i="8"/>
  <c r="J4" i="8" s="1"/>
  <c r="I4" i="8"/>
  <c r="K4" i="8" s="1"/>
  <c r="H5" i="8"/>
  <c r="J5" i="8" s="1"/>
  <c r="I5" i="8"/>
  <c r="K5" i="8" s="1"/>
  <c r="H6" i="8"/>
  <c r="J6" i="8" s="1"/>
  <c r="I6" i="8"/>
  <c r="K6" i="8" s="1"/>
  <c r="H7" i="8"/>
  <c r="J7" i="8" s="1"/>
  <c r="I7" i="8"/>
  <c r="K7" i="8" s="1"/>
  <c r="H8" i="8"/>
  <c r="J8" i="8" s="1"/>
  <c r="I8" i="8"/>
  <c r="K8" i="8" s="1"/>
  <c r="H9" i="8"/>
  <c r="J9" i="8" s="1"/>
  <c r="I9" i="8"/>
  <c r="K9" i="8" s="1"/>
  <c r="H10" i="8"/>
  <c r="I10" i="8"/>
  <c r="K10" i="8" s="1"/>
  <c r="J10" i="8"/>
  <c r="H11" i="8"/>
  <c r="J11" i="8" s="1"/>
  <c r="I11" i="8"/>
  <c r="K11" i="8" s="1"/>
  <c r="H12" i="8"/>
  <c r="I12" i="8"/>
  <c r="K12" i="8" s="1"/>
  <c r="J12" i="8"/>
  <c r="I13" i="8"/>
  <c r="K13" i="8" s="1"/>
  <c r="H14" i="8"/>
  <c r="J14" i="8" s="1"/>
  <c r="I14" i="8"/>
  <c r="K14" i="8" s="1"/>
  <c r="H15" i="8"/>
  <c r="J15" i="8" s="1"/>
  <c r="I15" i="8"/>
  <c r="K15" i="8" s="1"/>
  <c r="H17" i="10"/>
  <c r="J17" i="10" s="1"/>
  <c r="I17" i="10"/>
  <c r="K17" i="10" s="1"/>
  <c r="H4" i="10"/>
  <c r="I4" i="10"/>
  <c r="H5" i="10"/>
  <c r="J5" i="10" s="1"/>
  <c r="I5" i="10"/>
  <c r="K5" i="10" s="1"/>
  <c r="H6" i="10"/>
  <c r="J6" i="10" s="1"/>
  <c r="I6" i="10"/>
  <c r="K6" i="10" s="1"/>
  <c r="H7" i="10"/>
  <c r="J7" i="10" s="1"/>
  <c r="I7" i="10"/>
  <c r="K7" i="10" s="1"/>
  <c r="H8" i="10"/>
  <c r="J8" i="10" s="1"/>
  <c r="I8" i="10"/>
  <c r="K8" i="10" s="1"/>
  <c r="H9" i="10"/>
  <c r="J9" i="10" s="1"/>
  <c r="I9" i="10"/>
  <c r="K9" i="10" s="1"/>
  <c r="H10" i="10"/>
  <c r="J10" i="10" s="1"/>
  <c r="I10" i="10"/>
  <c r="K10" i="10" s="1"/>
  <c r="H11" i="10"/>
  <c r="J11" i="10" s="1"/>
  <c r="I11" i="10"/>
  <c r="K11" i="10" s="1"/>
  <c r="H12" i="10"/>
  <c r="J12" i="10" s="1"/>
  <c r="I12" i="10"/>
  <c r="K12" i="10" s="1"/>
  <c r="H13" i="10"/>
  <c r="J13" i="10" s="1"/>
  <c r="I13" i="10"/>
  <c r="K13" i="10" s="1"/>
  <c r="H14" i="10"/>
  <c r="J14" i="10" s="1"/>
  <c r="I14" i="10"/>
  <c r="K14" i="10" s="1"/>
  <c r="H15" i="10"/>
  <c r="J15" i="10" s="1"/>
  <c r="I15" i="10"/>
  <c r="K15" i="10" s="1"/>
  <c r="H16" i="10"/>
  <c r="J16" i="10" s="1"/>
  <c r="I16" i="10"/>
  <c r="K16" i="10" s="1"/>
  <c r="I16" i="7"/>
  <c r="K16" i="7" s="1"/>
  <c r="H16" i="7"/>
  <c r="J16" i="7" s="1"/>
  <c r="I15" i="7"/>
  <c r="K15" i="7" s="1"/>
  <c r="H15" i="7"/>
  <c r="J15" i="7" s="1"/>
  <c r="H3" i="7"/>
  <c r="I3" i="7"/>
  <c r="H4" i="7"/>
  <c r="J4" i="7" s="1"/>
  <c r="I4" i="7"/>
  <c r="K4" i="7" s="1"/>
  <c r="H5" i="7"/>
  <c r="J5" i="7" s="1"/>
  <c r="I5" i="7"/>
  <c r="K5" i="7" s="1"/>
  <c r="H6" i="7"/>
  <c r="J6" i="7" s="1"/>
  <c r="I6" i="7"/>
  <c r="K6" i="7" s="1"/>
  <c r="H7" i="7"/>
  <c r="J7" i="7" s="1"/>
  <c r="I7" i="7"/>
  <c r="K7" i="7" s="1"/>
  <c r="H8" i="7"/>
  <c r="J8" i="7" s="1"/>
  <c r="I8" i="7"/>
  <c r="K8" i="7" s="1"/>
  <c r="H9" i="7"/>
  <c r="J9" i="7" s="1"/>
  <c r="I9" i="7"/>
  <c r="K9" i="7" s="1"/>
  <c r="I24" i="10"/>
  <c r="K24" i="10" s="1"/>
  <c r="H24" i="10"/>
  <c r="J24" i="10" s="1"/>
  <c r="H22" i="10"/>
  <c r="J22" i="10" s="1"/>
  <c r="I22" i="10"/>
  <c r="K22" i="10" s="1"/>
  <c r="H23" i="10"/>
  <c r="J23" i="10" s="1"/>
  <c r="I23" i="10"/>
  <c r="K23" i="10" s="1"/>
  <c r="H20" i="10"/>
  <c r="J20" i="10" s="1"/>
  <c r="I20" i="10"/>
  <c r="K20" i="10" s="1"/>
  <c r="H21" i="10"/>
  <c r="J21" i="10" s="1"/>
  <c r="I21" i="10"/>
  <c r="K21" i="10" s="1"/>
  <c r="H3" i="11"/>
  <c r="I3" i="11"/>
  <c r="H4" i="11"/>
  <c r="J4" i="11" s="1"/>
  <c r="I4" i="11"/>
  <c r="K4" i="11" s="1"/>
  <c r="H5" i="11"/>
  <c r="J5" i="11" s="1"/>
  <c r="I5" i="11"/>
  <c r="K5" i="11" s="1"/>
  <c r="H6" i="11"/>
  <c r="J6" i="11" s="1"/>
  <c r="I6" i="11"/>
  <c r="K6" i="11" s="1"/>
  <c r="H7" i="11"/>
  <c r="J7" i="11" s="1"/>
  <c r="I7" i="11"/>
  <c r="K7" i="11" s="1"/>
  <c r="H8" i="11"/>
  <c r="J8" i="11" s="1"/>
  <c r="I8" i="11"/>
  <c r="K8" i="11" s="1"/>
  <c r="H9" i="11"/>
  <c r="J9" i="11" s="1"/>
  <c r="I9" i="11"/>
  <c r="K9" i="11" s="1"/>
  <c r="H10" i="11"/>
  <c r="J10" i="11" s="1"/>
  <c r="I10" i="11"/>
  <c r="K10" i="11" s="1"/>
  <c r="H11" i="11"/>
  <c r="J11" i="11" s="1"/>
  <c r="I11" i="11"/>
  <c r="K11" i="11" s="1"/>
  <c r="H12" i="11"/>
  <c r="J12" i="11" s="1"/>
  <c r="I12" i="11"/>
  <c r="K12" i="11" s="1"/>
  <c r="H13" i="11"/>
  <c r="J13" i="11" s="1"/>
  <c r="I13" i="11"/>
  <c r="K13" i="11" s="1"/>
  <c r="H16" i="11"/>
  <c r="J16" i="11" s="1"/>
  <c r="I16" i="11"/>
  <c r="K16" i="11" s="1"/>
  <c r="H15" i="11"/>
  <c r="J15" i="11" s="1"/>
  <c r="I15" i="11"/>
  <c r="K15" i="11" s="1"/>
  <c r="H14" i="11"/>
  <c r="J14" i="11" s="1"/>
  <c r="I14" i="11"/>
  <c r="K14" i="11" s="1"/>
  <c r="K14" i="9"/>
  <c r="M14" i="9" s="1"/>
  <c r="J14" i="9"/>
  <c r="L14" i="9" s="1"/>
  <c r="K13" i="9"/>
  <c r="M13" i="9" s="1"/>
  <c r="J13" i="9"/>
  <c r="L13" i="9" s="1"/>
  <c r="K12" i="9"/>
  <c r="M12" i="9" s="1"/>
  <c r="J12" i="9"/>
  <c r="L12" i="9" s="1"/>
  <c r="K11" i="9"/>
  <c r="M11" i="9" s="1"/>
  <c r="J11" i="9"/>
  <c r="L11" i="9" s="1"/>
  <c r="K10" i="9"/>
  <c r="M10" i="9" s="1"/>
  <c r="J10" i="9"/>
  <c r="L10" i="9" s="1"/>
  <c r="K9" i="9"/>
  <c r="M9" i="9" s="1"/>
  <c r="J9" i="9"/>
  <c r="L9" i="9" s="1"/>
  <c r="J3" i="9"/>
  <c r="K3" i="9"/>
  <c r="J4" i="9"/>
  <c r="L4" i="9" s="1"/>
  <c r="K4" i="9"/>
  <c r="M4" i="9" s="1"/>
  <c r="J5" i="9"/>
  <c r="L5" i="9" s="1"/>
  <c r="K5" i="9"/>
  <c r="M5" i="9" s="1"/>
  <c r="J6" i="9"/>
  <c r="L6" i="9" s="1"/>
  <c r="K6" i="9"/>
  <c r="M6" i="9" s="1"/>
  <c r="J7" i="9"/>
  <c r="L7" i="9" s="1"/>
  <c r="K7" i="9"/>
  <c r="M7" i="9" s="1"/>
  <c r="J8" i="9"/>
  <c r="L8" i="9" s="1"/>
  <c r="K8" i="9"/>
  <c r="M8" i="9" s="1"/>
  <c r="K7" i="4"/>
  <c r="J7" i="4"/>
  <c r="I7" i="4"/>
  <c r="M41" i="21" l="1"/>
  <c r="M6" i="34"/>
  <c r="M5" i="34"/>
  <c r="S3" i="33"/>
  <c r="S39" i="33" s="1"/>
  <c r="P39" i="33"/>
  <c r="M3" i="10"/>
  <c r="K4" i="10"/>
  <c r="M15" i="11"/>
  <c r="J3" i="8"/>
  <c r="J3" i="7"/>
  <c r="K3" i="7"/>
  <c r="J4" i="10"/>
  <c r="M4" i="10" s="1"/>
  <c r="M11" i="11"/>
  <c r="M5" i="11"/>
  <c r="M10" i="11"/>
  <c r="J3" i="11"/>
  <c r="K3" i="11"/>
  <c r="K3" i="8"/>
  <c r="M13" i="8"/>
  <c r="M12" i="8"/>
  <c r="M15" i="7"/>
  <c r="O14" i="9"/>
  <c r="M3" i="9"/>
  <c r="L3" i="9"/>
  <c r="M17" i="10"/>
  <c r="M9" i="6"/>
  <c r="M14" i="8"/>
  <c r="M11" i="8"/>
  <c r="M10" i="8"/>
  <c r="M9" i="8"/>
  <c r="M8" i="8"/>
  <c r="M7" i="8"/>
  <c r="M6" i="8"/>
  <c r="M5" i="8"/>
  <c r="M4" i="8"/>
  <c r="M15" i="8"/>
  <c r="M13" i="10"/>
  <c r="M14" i="10"/>
  <c r="M6" i="10"/>
  <c r="M12" i="10"/>
  <c r="M8" i="10"/>
  <c r="M10" i="10"/>
  <c r="M5" i="10"/>
  <c r="M9" i="10"/>
  <c r="M7" i="10"/>
  <c r="M15" i="10"/>
  <c r="M16" i="10"/>
  <c r="M11" i="10"/>
  <c r="M24" i="10"/>
  <c r="M16" i="7"/>
  <c r="M9" i="7"/>
  <c r="M8" i="7"/>
  <c r="M6" i="7"/>
  <c r="M5" i="7"/>
  <c r="M4" i="7"/>
  <c r="M7" i="7"/>
  <c r="M23" i="10"/>
  <c r="M22" i="10"/>
  <c r="M20" i="10"/>
  <c r="M21" i="10"/>
  <c r="M12" i="11"/>
  <c r="M6" i="11"/>
  <c r="M13" i="11"/>
  <c r="M4" i="11"/>
  <c r="M8" i="11"/>
  <c r="M9" i="11"/>
  <c r="M3" i="11"/>
  <c r="M7" i="11"/>
  <c r="M16" i="11"/>
  <c r="M14" i="11"/>
  <c r="O10" i="9"/>
  <c r="O11" i="9"/>
  <c r="O12" i="9"/>
  <c r="O13" i="9"/>
  <c r="O9" i="9"/>
  <c r="O6" i="9"/>
  <c r="O8" i="9"/>
  <c r="O4" i="9"/>
  <c r="O7" i="9"/>
  <c r="O5" i="9"/>
  <c r="J4" i="5"/>
  <c r="L4" i="5" s="1"/>
  <c r="K4" i="5"/>
  <c r="M4" i="5" s="1"/>
  <c r="J5" i="5"/>
  <c r="L5" i="5" s="1"/>
  <c r="K5" i="5"/>
  <c r="M5" i="5" s="1"/>
  <c r="J6" i="5"/>
  <c r="L6" i="5" s="1"/>
  <c r="K6" i="5"/>
  <c r="M6" i="5" s="1"/>
  <c r="J3" i="5"/>
  <c r="K3" i="5"/>
  <c r="H19" i="17"/>
  <c r="J19" i="17" s="1"/>
  <c r="I19" i="17"/>
  <c r="K19" i="17" s="1"/>
  <c r="H20" i="17"/>
  <c r="J20" i="17" s="1"/>
  <c r="I20" i="17"/>
  <c r="K20" i="17" s="1"/>
  <c r="H21" i="17"/>
  <c r="I21" i="17"/>
  <c r="K21" i="17" s="1"/>
  <c r="J21" i="17"/>
  <c r="H22" i="17"/>
  <c r="J22" i="17" s="1"/>
  <c r="I22" i="17"/>
  <c r="K22" i="17" s="1"/>
  <c r="H23" i="17"/>
  <c r="J23" i="17" s="1"/>
  <c r="I23" i="17"/>
  <c r="K23" i="17" s="1"/>
  <c r="H24" i="17"/>
  <c r="J24" i="17" s="1"/>
  <c r="I24" i="17"/>
  <c r="K24" i="17" s="1"/>
  <c r="H3" i="17"/>
  <c r="I3" i="17"/>
  <c r="H4" i="17"/>
  <c r="J4" i="17" s="1"/>
  <c r="I4" i="17"/>
  <c r="K4" i="17" s="1"/>
  <c r="H5" i="17"/>
  <c r="J5" i="17" s="1"/>
  <c r="I5" i="17"/>
  <c r="K5" i="17" s="1"/>
  <c r="H6" i="17"/>
  <c r="J6" i="17" s="1"/>
  <c r="I6" i="17"/>
  <c r="K6" i="17" s="1"/>
  <c r="H7" i="17"/>
  <c r="J7" i="17" s="1"/>
  <c r="I7" i="17"/>
  <c r="K7" i="17" s="1"/>
  <c r="H8" i="17"/>
  <c r="J8" i="17" s="1"/>
  <c r="I8" i="17"/>
  <c r="K8" i="17" s="1"/>
  <c r="H9" i="17"/>
  <c r="J9" i="17" s="1"/>
  <c r="I9" i="17"/>
  <c r="K9" i="17" s="1"/>
  <c r="H10" i="17"/>
  <c r="J10" i="17" s="1"/>
  <c r="I10" i="17"/>
  <c r="K10" i="17" s="1"/>
  <c r="H11" i="17"/>
  <c r="J11" i="17" s="1"/>
  <c r="I11" i="17"/>
  <c r="K11" i="17" s="1"/>
  <c r="H12" i="17"/>
  <c r="J12" i="17" s="1"/>
  <c r="I12" i="17"/>
  <c r="K12" i="17" s="1"/>
  <c r="H13" i="17"/>
  <c r="J13" i="17" s="1"/>
  <c r="I13" i="17"/>
  <c r="K13" i="17" s="1"/>
  <c r="H14" i="17"/>
  <c r="J14" i="17" s="1"/>
  <c r="I14" i="17"/>
  <c r="K14" i="17" s="1"/>
  <c r="H15" i="17"/>
  <c r="J15" i="17" s="1"/>
  <c r="I15" i="17"/>
  <c r="K15" i="17" s="1"/>
  <c r="H16" i="17"/>
  <c r="J16" i="17" s="1"/>
  <c r="I16" i="17"/>
  <c r="K16" i="17" s="1"/>
  <c r="H17" i="17"/>
  <c r="J17" i="17" s="1"/>
  <c r="I17" i="17"/>
  <c r="K17" i="17" s="1"/>
  <c r="H18" i="17"/>
  <c r="J18" i="17" s="1"/>
  <c r="I18" i="17"/>
  <c r="K18" i="17" s="1"/>
  <c r="M3" i="7" l="1"/>
  <c r="M3" i="8"/>
  <c r="O3" i="9"/>
  <c r="J3" i="17"/>
  <c r="K3" i="17"/>
  <c r="M3" i="5"/>
  <c r="L3" i="5"/>
  <c r="O5" i="5"/>
  <c r="O6" i="5"/>
  <c r="O4" i="5"/>
  <c r="M24" i="17"/>
  <c r="M23" i="17"/>
  <c r="M22" i="17"/>
  <c r="M21" i="17"/>
  <c r="M20" i="17"/>
  <c r="M19" i="17"/>
  <c r="M9" i="17"/>
  <c r="M14" i="17"/>
  <c r="M6" i="17"/>
  <c r="M15" i="17"/>
  <c r="M10" i="17"/>
  <c r="M11" i="17"/>
  <c r="M17" i="17"/>
  <c r="M13" i="17"/>
  <c r="M12" i="17"/>
  <c r="M18" i="17"/>
  <c r="M5" i="17"/>
  <c r="M16" i="17"/>
  <c r="M7" i="17"/>
  <c r="M4" i="17"/>
  <c r="M3" i="17"/>
  <c r="M8" i="17"/>
  <c r="H3" i="16"/>
  <c r="I3" i="16"/>
  <c r="H4" i="16"/>
  <c r="J4" i="16" s="1"/>
  <c r="I4" i="16"/>
  <c r="K4" i="16" s="1"/>
  <c r="H5" i="16"/>
  <c r="J5" i="16" s="1"/>
  <c r="I5" i="16"/>
  <c r="K5" i="16" s="1"/>
  <c r="H6" i="16"/>
  <c r="J6" i="16" s="1"/>
  <c r="I6" i="16"/>
  <c r="K6" i="16" s="1"/>
  <c r="H7" i="16"/>
  <c r="J7" i="16" s="1"/>
  <c r="I7" i="16"/>
  <c r="K7" i="16" s="1"/>
  <c r="H8" i="16"/>
  <c r="J8" i="16" s="1"/>
  <c r="I8" i="16"/>
  <c r="K8" i="16" s="1"/>
  <c r="H9" i="16"/>
  <c r="J9" i="16" s="1"/>
  <c r="I9" i="16"/>
  <c r="K9" i="16" s="1"/>
  <c r="H10" i="16"/>
  <c r="J10" i="16" s="1"/>
  <c r="I10" i="16"/>
  <c r="K10" i="16" s="1"/>
  <c r="H11" i="16"/>
  <c r="J11" i="16" s="1"/>
  <c r="I11" i="16"/>
  <c r="K11" i="16" s="1"/>
  <c r="H12" i="16"/>
  <c r="J12" i="16" s="1"/>
  <c r="I12" i="16"/>
  <c r="K12" i="16" s="1"/>
  <c r="H13" i="16"/>
  <c r="J13" i="16" s="1"/>
  <c r="I13" i="16"/>
  <c r="K13" i="16" s="1"/>
  <c r="H14" i="16"/>
  <c r="J14" i="16" s="1"/>
  <c r="I14" i="16"/>
  <c r="K14" i="16" s="1"/>
  <c r="H15" i="16"/>
  <c r="J15" i="16" s="1"/>
  <c r="I15" i="16"/>
  <c r="K15" i="16" s="1"/>
  <c r="H16" i="16"/>
  <c r="J16" i="16" s="1"/>
  <c r="I16" i="16"/>
  <c r="K16" i="16" s="1"/>
  <c r="H17" i="16"/>
  <c r="J17" i="16" s="1"/>
  <c r="I17" i="16"/>
  <c r="K17" i="16" s="1"/>
  <c r="H18" i="16"/>
  <c r="J18" i="16" s="1"/>
  <c r="I18" i="16"/>
  <c r="K18" i="16" s="1"/>
  <c r="H19" i="16"/>
  <c r="J19" i="16" s="1"/>
  <c r="I19" i="16"/>
  <c r="K19" i="16" s="1"/>
  <c r="H20" i="16"/>
  <c r="J20" i="16" s="1"/>
  <c r="I20" i="16"/>
  <c r="K20" i="16" s="1"/>
  <c r="H21" i="16"/>
  <c r="J21" i="16" s="1"/>
  <c r="I21" i="16"/>
  <c r="K21" i="16" s="1"/>
  <c r="H22" i="16"/>
  <c r="J22" i="16" s="1"/>
  <c r="I22" i="16"/>
  <c r="K22" i="16" s="1"/>
  <c r="H23" i="16"/>
  <c r="J23" i="16" s="1"/>
  <c r="I23" i="16"/>
  <c r="K23" i="16" s="1"/>
  <c r="H24" i="16"/>
  <c r="J24" i="16" s="1"/>
  <c r="I24" i="16"/>
  <c r="K24" i="16" s="1"/>
  <c r="H20" i="15"/>
  <c r="J20" i="15" s="1"/>
  <c r="I20" i="15"/>
  <c r="K20" i="15" s="1"/>
  <c r="H21" i="15"/>
  <c r="J21" i="15" s="1"/>
  <c r="I21" i="15"/>
  <c r="K21" i="15" s="1"/>
  <c r="H22" i="15"/>
  <c r="I22" i="15"/>
  <c r="K22" i="15" s="1"/>
  <c r="J22" i="15"/>
  <c r="H23" i="15"/>
  <c r="J23" i="15" s="1"/>
  <c r="I23" i="15"/>
  <c r="K23" i="15" s="1"/>
  <c r="H24" i="15"/>
  <c r="J24" i="15" s="1"/>
  <c r="I24" i="15"/>
  <c r="K24" i="15" s="1"/>
  <c r="H3" i="15"/>
  <c r="I3" i="15"/>
  <c r="H4" i="15"/>
  <c r="J4" i="15" s="1"/>
  <c r="I4" i="15"/>
  <c r="K4" i="15" s="1"/>
  <c r="H5" i="15"/>
  <c r="J5" i="15" s="1"/>
  <c r="I5" i="15"/>
  <c r="K5" i="15" s="1"/>
  <c r="H6" i="15"/>
  <c r="J6" i="15" s="1"/>
  <c r="I6" i="15"/>
  <c r="K6" i="15" s="1"/>
  <c r="H7" i="15"/>
  <c r="J7" i="15" s="1"/>
  <c r="I7" i="15"/>
  <c r="K7" i="15" s="1"/>
  <c r="H8" i="15"/>
  <c r="J8" i="15" s="1"/>
  <c r="I8" i="15"/>
  <c r="K8" i="15" s="1"/>
  <c r="H9" i="15"/>
  <c r="J9" i="15" s="1"/>
  <c r="I9" i="15"/>
  <c r="K9" i="15" s="1"/>
  <c r="H10" i="15"/>
  <c r="J10" i="15" s="1"/>
  <c r="I10" i="15"/>
  <c r="K10" i="15" s="1"/>
  <c r="H11" i="15"/>
  <c r="J11" i="15" s="1"/>
  <c r="I11" i="15"/>
  <c r="K11" i="15" s="1"/>
  <c r="H12" i="15"/>
  <c r="J12" i="15" s="1"/>
  <c r="I12" i="15"/>
  <c r="K12" i="15" s="1"/>
  <c r="H13" i="15"/>
  <c r="J13" i="15" s="1"/>
  <c r="I13" i="15"/>
  <c r="K13" i="15" s="1"/>
  <c r="H14" i="15"/>
  <c r="J14" i="15" s="1"/>
  <c r="I14" i="15"/>
  <c r="K14" i="15" s="1"/>
  <c r="H15" i="15"/>
  <c r="J15" i="15" s="1"/>
  <c r="I15" i="15"/>
  <c r="K15" i="15" s="1"/>
  <c r="H16" i="15"/>
  <c r="J16" i="15" s="1"/>
  <c r="I16" i="15"/>
  <c r="K16" i="15" s="1"/>
  <c r="H17" i="15"/>
  <c r="J17" i="15" s="1"/>
  <c r="I17" i="15"/>
  <c r="K17" i="15" s="1"/>
  <c r="H18" i="15"/>
  <c r="J18" i="15" s="1"/>
  <c r="I18" i="15"/>
  <c r="K18" i="15" s="1"/>
  <c r="H19" i="15"/>
  <c r="J19" i="15" s="1"/>
  <c r="I19" i="15"/>
  <c r="K19" i="15" s="1"/>
  <c r="I37" i="22"/>
  <c r="K37" i="22" s="1"/>
  <c r="H37" i="22"/>
  <c r="J37" i="22" s="1"/>
  <c r="H35" i="22"/>
  <c r="J35" i="22" s="1"/>
  <c r="I35" i="22"/>
  <c r="K35" i="22" s="1"/>
  <c r="H36" i="22"/>
  <c r="J36" i="22" s="1"/>
  <c r="I36" i="22"/>
  <c r="K36" i="22" s="1"/>
  <c r="I34" i="22"/>
  <c r="K34" i="22" s="1"/>
  <c r="H34" i="22"/>
  <c r="J34" i="22" s="1"/>
  <c r="I33" i="22"/>
  <c r="K33" i="22" s="1"/>
  <c r="H33" i="22"/>
  <c r="J33" i="22" s="1"/>
  <c r="H9" i="19"/>
  <c r="I9" i="19"/>
  <c r="H28" i="19"/>
  <c r="J28" i="19" s="1"/>
  <c r="I28" i="19"/>
  <c r="K28" i="19" s="1"/>
  <c r="H29" i="19"/>
  <c r="J29" i="19" s="1"/>
  <c r="I29" i="19"/>
  <c r="H30" i="19"/>
  <c r="J30" i="19" s="1"/>
  <c r="I30" i="19"/>
  <c r="H31" i="19"/>
  <c r="J31" i="19" s="1"/>
  <c r="I31" i="19"/>
  <c r="H32" i="19"/>
  <c r="J32" i="19" s="1"/>
  <c r="I32" i="19"/>
  <c r="H33" i="19"/>
  <c r="J33" i="19" s="1"/>
  <c r="I33" i="19"/>
  <c r="H34" i="19"/>
  <c r="J34" i="19" s="1"/>
  <c r="I34" i="19"/>
  <c r="H35" i="19"/>
  <c r="I35" i="19"/>
  <c r="J35" i="19"/>
  <c r="H36" i="19"/>
  <c r="J36" i="19" s="1"/>
  <c r="I36" i="19"/>
  <c r="H37" i="19"/>
  <c r="J37" i="19" s="1"/>
  <c r="I37" i="19"/>
  <c r="H38" i="19"/>
  <c r="J38" i="19" s="1"/>
  <c r="I38" i="19"/>
  <c r="H39" i="19"/>
  <c r="J39" i="19" s="1"/>
  <c r="I39" i="19"/>
  <c r="H40" i="19"/>
  <c r="J40" i="19" s="1"/>
  <c r="I40" i="19"/>
  <c r="H41" i="19"/>
  <c r="J41" i="19" s="1"/>
  <c r="I41" i="19"/>
  <c r="H42" i="19"/>
  <c r="J42" i="19" s="1"/>
  <c r="I42" i="19"/>
  <c r="H43" i="19"/>
  <c r="J43" i="19" s="1"/>
  <c r="I43" i="19"/>
  <c r="H44" i="19"/>
  <c r="J44" i="19" s="1"/>
  <c r="I44" i="19"/>
  <c r="I27" i="19"/>
  <c r="K27" i="19" s="1"/>
  <c r="H27" i="19"/>
  <c r="J27" i="19" s="1"/>
  <c r="I26" i="19"/>
  <c r="K26" i="19" s="1"/>
  <c r="H26" i="19"/>
  <c r="J26" i="19" s="1"/>
  <c r="I25" i="19"/>
  <c r="K25" i="19" s="1"/>
  <c r="H25" i="19"/>
  <c r="J25" i="19" s="1"/>
  <c r="I24" i="19"/>
  <c r="K24" i="19" s="1"/>
  <c r="H24" i="19"/>
  <c r="J24" i="19" s="1"/>
  <c r="J9" i="19"/>
  <c r="K9" i="19"/>
  <c r="H10" i="19"/>
  <c r="J10" i="19" s="1"/>
  <c r="I10" i="19"/>
  <c r="K10" i="19" s="1"/>
  <c r="H11" i="19"/>
  <c r="J11" i="19" s="1"/>
  <c r="I11" i="19"/>
  <c r="K11" i="19" s="1"/>
  <c r="H12" i="19"/>
  <c r="J12" i="19" s="1"/>
  <c r="I12" i="19"/>
  <c r="K12" i="19" s="1"/>
  <c r="H13" i="19"/>
  <c r="J13" i="19" s="1"/>
  <c r="I13" i="19"/>
  <c r="K13" i="19" s="1"/>
  <c r="H14" i="19"/>
  <c r="J14" i="19" s="1"/>
  <c r="I14" i="19"/>
  <c r="K14" i="19" s="1"/>
  <c r="H15" i="19"/>
  <c r="J15" i="19" s="1"/>
  <c r="I15" i="19"/>
  <c r="K15" i="19" s="1"/>
  <c r="H16" i="19"/>
  <c r="J16" i="19" s="1"/>
  <c r="I16" i="19"/>
  <c r="K16" i="19" s="1"/>
  <c r="H17" i="19"/>
  <c r="J17" i="19" s="1"/>
  <c r="I17" i="19"/>
  <c r="K17" i="19" s="1"/>
  <c r="H18" i="19"/>
  <c r="J18" i="19" s="1"/>
  <c r="I18" i="19"/>
  <c r="K18" i="19" s="1"/>
  <c r="H19" i="19"/>
  <c r="J19" i="19" s="1"/>
  <c r="I19" i="19"/>
  <c r="K19" i="19" s="1"/>
  <c r="H20" i="19"/>
  <c r="J20" i="19" s="1"/>
  <c r="I20" i="19"/>
  <c r="K20" i="19" s="1"/>
  <c r="H21" i="19"/>
  <c r="J21" i="19" s="1"/>
  <c r="I21" i="19"/>
  <c r="K21" i="19" s="1"/>
  <c r="H22" i="19"/>
  <c r="J22" i="19" s="1"/>
  <c r="I22" i="19"/>
  <c r="K22" i="19" s="1"/>
  <c r="H23" i="19"/>
  <c r="J23" i="19" s="1"/>
  <c r="I23" i="19"/>
  <c r="K23" i="19" s="1"/>
  <c r="I23" i="18"/>
  <c r="K23" i="18" s="1"/>
  <c r="H23" i="18"/>
  <c r="J23" i="18" s="1"/>
  <c r="I22" i="18"/>
  <c r="K22" i="18" s="1"/>
  <c r="H22" i="18"/>
  <c r="J22" i="18" s="1"/>
  <c r="I21" i="18"/>
  <c r="K21" i="18" s="1"/>
  <c r="H21" i="18"/>
  <c r="J21" i="18" s="1"/>
  <c r="I20" i="18"/>
  <c r="K20" i="18" s="1"/>
  <c r="H20" i="18"/>
  <c r="J20" i="18" s="1"/>
  <c r="I19" i="18"/>
  <c r="K19" i="18" s="1"/>
  <c r="H19" i="18"/>
  <c r="J19" i="18" s="1"/>
  <c r="I18" i="18"/>
  <c r="H18" i="18"/>
  <c r="J18" i="18" s="1"/>
  <c r="I17" i="18"/>
  <c r="K17" i="18" s="1"/>
  <c r="H17" i="18"/>
  <c r="J17" i="18"/>
  <c r="I16" i="18"/>
  <c r="K16" i="18" s="1"/>
  <c r="H16" i="18"/>
  <c r="J16" i="18" s="1"/>
  <c r="I15" i="18"/>
  <c r="K15" i="18" s="1"/>
  <c r="H15" i="18"/>
  <c r="J15" i="18" s="1"/>
  <c r="H5" i="18"/>
  <c r="J5" i="18" s="1"/>
  <c r="I5" i="18"/>
  <c r="K5" i="18" s="1"/>
  <c r="H6" i="18"/>
  <c r="J6" i="18" s="1"/>
  <c r="I6" i="18"/>
  <c r="K6" i="18" s="1"/>
  <c r="H7" i="18"/>
  <c r="J7" i="18" s="1"/>
  <c r="I7" i="18"/>
  <c r="K7" i="18" s="1"/>
  <c r="H8" i="18"/>
  <c r="J8" i="18" s="1"/>
  <c r="I8" i="18"/>
  <c r="K8" i="18" s="1"/>
  <c r="H9" i="18"/>
  <c r="J9" i="18" s="1"/>
  <c r="I9" i="18"/>
  <c r="K9" i="18" s="1"/>
  <c r="H14" i="18"/>
  <c r="J14" i="18" s="1"/>
  <c r="I14" i="18"/>
  <c r="K14" i="18" s="1"/>
  <c r="H3" i="18"/>
  <c r="I3" i="18"/>
  <c r="H4" i="18"/>
  <c r="J4" i="18" s="1"/>
  <c r="I4" i="18"/>
  <c r="K4" i="18" s="1"/>
  <c r="H10" i="18"/>
  <c r="J10" i="18" s="1"/>
  <c r="I10" i="18"/>
  <c r="K10" i="18" s="1"/>
  <c r="H11" i="18"/>
  <c r="J11" i="18" s="1"/>
  <c r="I11" i="18"/>
  <c r="K11" i="18" s="1"/>
  <c r="H12" i="18"/>
  <c r="J12" i="18" s="1"/>
  <c r="I12" i="18"/>
  <c r="K12" i="18" s="1"/>
  <c r="H13" i="18"/>
  <c r="J13" i="18" s="1"/>
  <c r="I13" i="18"/>
  <c r="K13" i="18" s="1"/>
  <c r="H3" i="20"/>
  <c r="I3" i="20"/>
  <c r="H4" i="20"/>
  <c r="J4" i="20" s="1"/>
  <c r="I4" i="20"/>
  <c r="K4" i="20" s="1"/>
  <c r="H5" i="20"/>
  <c r="J5" i="20" s="1"/>
  <c r="I5" i="20"/>
  <c r="K5" i="20" s="1"/>
  <c r="H6" i="20"/>
  <c r="J6" i="20" s="1"/>
  <c r="I6" i="20"/>
  <c r="K6" i="20" s="1"/>
  <c r="H7" i="20"/>
  <c r="J7" i="20" s="1"/>
  <c r="I7" i="20"/>
  <c r="K7" i="20" s="1"/>
  <c r="H8" i="20"/>
  <c r="J8" i="20" s="1"/>
  <c r="I8" i="20"/>
  <c r="K8" i="20" s="1"/>
  <c r="H9" i="20"/>
  <c r="J9" i="20" s="1"/>
  <c r="I9" i="20"/>
  <c r="K9" i="20" s="1"/>
  <c r="H10" i="20"/>
  <c r="J10" i="20" s="1"/>
  <c r="I10" i="20"/>
  <c r="K10" i="20" s="1"/>
  <c r="H11" i="20"/>
  <c r="J11" i="20" s="1"/>
  <c r="I11" i="20"/>
  <c r="K11" i="20" s="1"/>
  <c r="H12" i="20"/>
  <c r="J12" i="20" s="1"/>
  <c r="I12" i="20"/>
  <c r="K12" i="20" s="1"/>
  <c r="H13" i="20"/>
  <c r="J13" i="20" s="1"/>
  <c r="I13" i="20"/>
  <c r="K13" i="20" s="1"/>
  <c r="H14" i="20"/>
  <c r="J14" i="20" s="1"/>
  <c r="I14" i="20"/>
  <c r="K14" i="20" s="1"/>
  <c r="H15" i="20"/>
  <c r="J15" i="20" s="1"/>
  <c r="I15" i="20"/>
  <c r="K15" i="20" s="1"/>
  <c r="H16" i="20"/>
  <c r="J16" i="20" s="1"/>
  <c r="I16" i="20"/>
  <c r="K16" i="20" s="1"/>
  <c r="H17" i="20"/>
  <c r="J17" i="20" s="1"/>
  <c r="I17" i="20"/>
  <c r="K17" i="20" s="1"/>
  <c r="H18" i="20"/>
  <c r="J18" i="20" s="1"/>
  <c r="I18" i="20"/>
  <c r="K18" i="20" s="1"/>
  <c r="H19" i="20"/>
  <c r="J19" i="20" s="1"/>
  <c r="I19" i="20"/>
  <c r="K19" i="20" s="1"/>
  <c r="H20" i="20"/>
  <c r="J20" i="20" s="1"/>
  <c r="I20" i="20"/>
  <c r="K20" i="20" s="1"/>
  <c r="H21" i="20"/>
  <c r="J21" i="20" s="1"/>
  <c r="I21" i="20"/>
  <c r="K21" i="20" s="1"/>
  <c r="H22" i="20"/>
  <c r="J22" i="20" s="1"/>
  <c r="I22" i="20"/>
  <c r="K22" i="20" s="1"/>
  <c r="H23" i="20"/>
  <c r="J23" i="20" s="1"/>
  <c r="I23" i="20"/>
  <c r="K23" i="20" s="1"/>
  <c r="H24" i="20"/>
  <c r="J24" i="20" s="1"/>
  <c r="I24" i="20"/>
  <c r="K24" i="20" s="1"/>
  <c r="H25" i="20"/>
  <c r="J25" i="20" s="1"/>
  <c r="I25" i="20"/>
  <c r="K25" i="20" s="1"/>
  <c r="I26" i="21"/>
  <c r="K26" i="21" s="1"/>
  <c r="H26" i="21"/>
  <c r="J26" i="21" s="1"/>
  <c r="I25" i="21"/>
  <c r="K25" i="21" s="1"/>
  <c r="H25" i="21"/>
  <c r="J25" i="21" s="1"/>
  <c r="I24" i="21"/>
  <c r="K24" i="21" s="1"/>
  <c r="H24" i="21"/>
  <c r="J24" i="21" s="1"/>
  <c r="I23" i="21"/>
  <c r="H23" i="21"/>
  <c r="J23" i="21" s="1"/>
  <c r="I22" i="21"/>
  <c r="K22" i="21" s="1"/>
  <c r="H22" i="21"/>
  <c r="J22" i="21" s="1"/>
  <c r="I21" i="21"/>
  <c r="K21" i="21" s="1"/>
  <c r="H21" i="21"/>
  <c r="J21" i="21" s="1"/>
  <c r="I20" i="21"/>
  <c r="K20" i="21" s="1"/>
  <c r="H20" i="21"/>
  <c r="J20" i="21" s="1"/>
  <c r="K23" i="21"/>
  <c r="I19" i="21"/>
  <c r="K19" i="21" s="1"/>
  <c r="H19" i="21"/>
  <c r="J19" i="21" s="1"/>
  <c r="I18" i="21"/>
  <c r="K18" i="21" s="1"/>
  <c r="H18" i="21"/>
  <c r="J18" i="21" s="1"/>
  <c r="I17" i="21"/>
  <c r="K17" i="21" s="1"/>
  <c r="H17" i="21"/>
  <c r="J17" i="21" s="1"/>
  <c r="I16" i="21"/>
  <c r="K16" i="21" s="1"/>
  <c r="H16" i="21"/>
  <c r="J16" i="21" s="1"/>
  <c r="I15" i="21"/>
  <c r="K15" i="21" s="1"/>
  <c r="H15" i="21"/>
  <c r="J15" i="21" s="1"/>
  <c r="I14" i="21"/>
  <c r="K14" i="21" s="1"/>
  <c r="H14" i="21"/>
  <c r="J14" i="21" s="1"/>
  <c r="I13" i="21"/>
  <c r="K13" i="21" s="1"/>
  <c r="H13" i="21"/>
  <c r="J13" i="21" s="1"/>
  <c r="I12" i="21"/>
  <c r="K12" i="21" s="1"/>
  <c r="H12" i="21"/>
  <c r="J12" i="21" s="1"/>
  <c r="I11" i="21"/>
  <c r="K11" i="21" s="1"/>
  <c r="H11" i="21"/>
  <c r="J11" i="21" s="1"/>
  <c r="I3" i="21"/>
  <c r="I4" i="21"/>
  <c r="K4" i="21" s="1"/>
  <c r="I5" i="21"/>
  <c r="K5" i="21" s="1"/>
  <c r="I6" i="21"/>
  <c r="K6" i="21" s="1"/>
  <c r="I7" i="21"/>
  <c r="K7" i="21" s="1"/>
  <c r="I8" i="21"/>
  <c r="K8" i="21" s="1"/>
  <c r="I9" i="21"/>
  <c r="K9" i="21" s="1"/>
  <c r="I10" i="21"/>
  <c r="K10" i="21" s="1"/>
  <c r="H3" i="21"/>
  <c r="H4" i="21"/>
  <c r="J4" i="21" s="1"/>
  <c r="H5" i="21"/>
  <c r="J5" i="21" s="1"/>
  <c r="H6" i="21"/>
  <c r="J6" i="21" s="1"/>
  <c r="H7" i="21"/>
  <c r="J7" i="21" s="1"/>
  <c r="H8" i="21"/>
  <c r="J8" i="21" s="1"/>
  <c r="H9" i="21"/>
  <c r="J9" i="21" s="1"/>
  <c r="H10" i="21"/>
  <c r="J10" i="21" s="1"/>
  <c r="I3" i="19"/>
  <c r="I4" i="19"/>
  <c r="K4" i="19" s="1"/>
  <c r="I5" i="19"/>
  <c r="K5" i="19" s="1"/>
  <c r="I6" i="19"/>
  <c r="K6" i="19" s="1"/>
  <c r="I7" i="19"/>
  <c r="K7" i="19" s="1"/>
  <c r="I8" i="19"/>
  <c r="K8" i="19" s="1"/>
  <c r="H3" i="19"/>
  <c r="H4" i="19"/>
  <c r="J4" i="19" s="1"/>
  <c r="H5" i="19"/>
  <c r="J5" i="19" s="1"/>
  <c r="H6" i="19"/>
  <c r="J6" i="19" s="1"/>
  <c r="H7" i="19"/>
  <c r="J7" i="19" s="1"/>
  <c r="H8" i="19"/>
  <c r="J8" i="19" s="1"/>
  <c r="H23" i="22"/>
  <c r="J23" i="22" s="1"/>
  <c r="I23" i="22"/>
  <c r="K23" i="22" s="1"/>
  <c r="H24" i="22"/>
  <c r="J24" i="22" s="1"/>
  <c r="I24" i="22"/>
  <c r="K24" i="22" s="1"/>
  <c r="H25" i="22"/>
  <c r="J25" i="22" s="1"/>
  <c r="I25" i="22"/>
  <c r="K25" i="22" s="1"/>
  <c r="H26" i="22"/>
  <c r="J26" i="22" s="1"/>
  <c r="I26" i="22"/>
  <c r="K26" i="22" s="1"/>
  <c r="H27" i="22"/>
  <c r="J27" i="22" s="1"/>
  <c r="I27" i="22"/>
  <c r="K27" i="22" s="1"/>
  <c r="H28" i="22"/>
  <c r="J28" i="22" s="1"/>
  <c r="I28" i="22"/>
  <c r="K28" i="22" s="1"/>
  <c r="H29" i="22"/>
  <c r="J29" i="22" s="1"/>
  <c r="I29" i="22"/>
  <c r="K29" i="22" s="1"/>
  <c r="H30" i="22"/>
  <c r="J30" i="22" s="1"/>
  <c r="I30" i="22"/>
  <c r="K30" i="22" s="1"/>
  <c r="H31" i="22"/>
  <c r="J31" i="22" s="1"/>
  <c r="I31" i="22"/>
  <c r="K31" i="22" s="1"/>
  <c r="H32" i="22"/>
  <c r="J32" i="22" s="1"/>
  <c r="I32" i="22"/>
  <c r="K32" i="22" s="1"/>
  <c r="H22" i="22"/>
  <c r="J22" i="22" s="1"/>
  <c r="I22" i="22"/>
  <c r="K22" i="22" s="1"/>
  <c r="H3" i="22"/>
  <c r="I3" i="22"/>
  <c r="H4" i="22"/>
  <c r="J4" i="22" s="1"/>
  <c r="I4" i="22"/>
  <c r="K4" i="22" s="1"/>
  <c r="H5" i="22"/>
  <c r="J5" i="22" s="1"/>
  <c r="I5" i="22"/>
  <c r="K5" i="22" s="1"/>
  <c r="H6" i="22"/>
  <c r="J6" i="22" s="1"/>
  <c r="I6" i="22"/>
  <c r="K6" i="22" s="1"/>
  <c r="H7" i="22"/>
  <c r="J7" i="22" s="1"/>
  <c r="I7" i="22"/>
  <c r="K7" i="22" s="1"/>
  <c r="H8" i="22"/>
  <c r="J8" i="22" s="1"/>
  <c r="I8" i="22"/>
  <c r="K8" i="22" s="1"/>
  <c r="H9" i="22"/>
  <c r="J9" i="22" s="1"/>
  <c r="I9" i="22"/>
  <c r="K9" i="22" s="1"/>
  <c r="H10" i="22"/>
  <c r="J10" i="22" s="1"/>
  <c r="I10" i="22"/>
  <c r="K10" i="22" s="1"/>
  <c r="H11" i="22"/>
  <c r="J11" i="22" s="1"/>
  <c r="I11" i="22"/>
  <c r="K11" i="22" s="1"/>
  <c r="H12" i="22"/>
  <c r="J12" i="22" s="1"/>
  <c r="I12" i="22"/>
  <c r="K12" i="22" s="1"/>
  <c r="H13" i="22"/>
  <c r="J13" i="22" s="1"/>
  <c r="I13" i="22"/>
  <c r="K13" i="22" s="1"/>
  <c r="H14" i="22"/>
  <c r="J14" i="22" s="1"/>
  <c r="I14" i="22"/>
  <c r="K14" i="22" s="1"/>
  <c r="H15" i="22"/>
  <c r="J15" i="22" s="1"/>
  <c r="I15" i="22"/>
  <c r="K15" i="22" s="1"/>
  <c r="H16" i="22"/>
  <c r="J16" i="22" s="1"/>
  <c r="I16" i="22"/>
  <c r="K16" i="22" s="1"/>
  <c r="H17" i="22"/>
  <c r="J17" i="22" s="1"/>
  <c r="I17" i="22"/>
  <c r="K17" i="22" s="1"/>
  <c r="H18" i="22"/>
  <c r="J18" i="22" s="1"/>
  <c r="I18" i="22"/>
  <c r="K18" i="22" s="1"/>
  <c r="H19" i="22"/>
  <c r="J19" i="22" s="1"/>
  <c r="I19" i="22"/>
  <c r="K19" i="22" s="1"/>
  <c r="H20" i="22"/>
  <c r="J20" i="22" s="1"/>
  <c r="I20" i="22"/>
  <c r="K20" i="22" s="1"/>
  <c r="H21" i="22"/>
  <c r="J21" i="22" s="1"/>
  <c r="I21" i="22"/>
  <c r="K21" i="22" s="1"/>
  <c r="H6" i="14"/>
  <c r="J6" i="14" s="1"/>
  <c r="I6" i="14"/>
  <c r="K6" i="14" s="1"/>
  <c r="H7" i="14"/>
  <c r="J7" i="14" s="1"/>
  <c r="I7" i="14"/>
  <c r="K7" i="14" s="1"/>
  <c r="H8" i="14"/>
  <c r="J8" i="14" s="1"/>
  <c r="I8" i="14"/>
  <c r="K8" i="14" s="1"/>
  <c r="H9" i="14"/>
  <c r="J9" i="14" s="1"/>
  <c r="I9" i="14"/>
  <c r="K9" i="14" s="1"/>
  <c r="H10" i="14"/>
  <c r="J10" i="14" s="1"/>
  <c r="I10" i="14"/>
  <c r="K10" i="14" s="1"/>
  <c r="H11" i="14"/>
  <c r="J11" i="14" s="1"/>
  <c r="I11" i="14"/>
  <c r="K11" i="14" s="1"/>
  <c r="H12" i="14"/>
  <c r="J12" i="14" s="1"/>
  <c r="I12" i="14"/>
  <c r="K12" i="14" s="1"/>
  <c r="H13" i="14"/>
  <c r="J13" i="14" s="1"/>
  <c r="I13" i="14"/>
  <c r="K13" i="14" s="1"/>
  <c r="H14" i="14"/>
  <c r="J14" i="14" s="1"/>
  <c r="I14" i="14"/>
  <c r="K14" i="14" s="1"/>
  <c r="H15" i="14"/>
  <c r="J15" i="14" s="1"/>
  <c r="I15" i="14"/>
  <c r="K15" i="14" s="1"/>
  <c r="H16" i="14"/>
  <c r="J16" i="14" s="1"/>
  <c r="I16" i="14"/>
  <c r="K16" i="14" s="1"/>
  <c r="H17" i="14"/>
  <c r="J17" i="14" s="1"/>
  <c r="I17" i="14"/>
  <c r="K17" i="14" s="1"/>
  <c r="H18" i="14"/>
  <c r="J18" i="14" s="1"/>
  <c r="I18" i="14"/>
  <c r="K18" i="14" s="1"/>
  <c r="H19" i="14"/>
  <c r="J19" i="14" s="1"/>
  <c r="I19" i="14"/>
  <c r="K19" i="14" s="1"/>
  <c r="H20" i="14"/>
  <c r="J20" i="14" s="1"/>
  <c r="I20" i="14"/>
  <c r="K20" i="14" s="1"/>
  <c r="H21" i="14"/>
  <c r="J21" i="14" s="1"/>
  <c r="I21" i="14"/>
  <c r="K21" i="14" s="1"/>
  <c r="H22" i="14"/>
  <c r="J22" i="14" s="1"/>
  <c r="I22" i="14"/>
  <c r="K22" i="14" s="1"/>
  <c r="H23" i="14"/>
  <c r="J23" i="14" s="1"/>
  <c r="I23" i="14"/>
  <c r="K23" i="14" s="1"/>
  <c r="H24" i="14"/>
  <c r="J24" i="14" s="1"/>
  <c r="I24" i="14"/>
  <c r="K24" i="14"/>
  <c r="H3" i="14"/>
  <c r="I3" i="14"/>
  <c r="H4" i="14"/>
  <c r="J4" i="14" s="1"/>
  <c r="I4" i="14"/>
  <c r="K4" i="14" s="1"/>
  <c r="H5" i="14"/>
  <c r="J5" i="14" s="1"/>
  <c r="I5" i="14"/>
  <c r="K5" i="14" s="1"/>
  <c r="H25" i="14"/>
  <c r="J25" i="14" s="1"/>
  <c r="I25" i="14"/>
  <c r="K25" i="14" s="1"/>
  <c r="H26" i="14"/>
  <c r="J26" i="14" s="1"/>
  <c r="I26" i="14"/>
  <c r="K26" i="14" s="1"/>
  <c r="H27" i="14"/>
  <c r="J27" i="14" s="1"/>
  <c r="I27" i="14"/>
  <c r="K27" i="14" s="1"/>
  <c r="H28" i="14"/>
  <c r="J28" i="14" s="1"/>
  <c r="I28" i="14"/>
  <c r="K28" i="14" s="1"/>
  <c r="H29" i="14"/>
  <c r="J29" i="14" s="1"/>
  <c r="I29" i="14"/>
  <c r="K29" i="14" s="1"/>
  <c r="O3" i="5" l="1"/>
  <c r="M22" i="18"/>
  <c r="M26" i="21"/>
  <c r="K3" i="21"/>
  <c r="J3" i="21"/>
  <c r="M24" i="21"/>
  <c r="J3" i="19"/>
  <c r="J3" i="15"/>
  <c r="K3" i="15"/>
  <c r="M24" i="14"/>
  <c r="J3" i="14"/>
  <c r="K3" i="14"/>
  <c r="K3" i="20"/>
  <c r="J3" i="20"/>
  <c r="J3" i="22"/>
  <c r="K3" i="22"/>
  <c r="M9" i="15"/>
  <c r="K3" i="16"/>
  <c r="J3" i="16"/>
  <c r="M21" i="18"/>
  <c r="M37" i="22"/>
  <c r="M34" i="22"/>
  <c r="M35" i="22"/>
  <c r="M24" i="16"/>
  <c r="M23" i="16"/>
  <c r="M22" i="16"/>
  <c r="M19" i="16"/>
  <c r="M18" i="16"/>
  <c r="M15" i="16"/>
  <c r="M12" i="16"/>
  <c r="M11" i="16"/>
  <c r="M9" i="16"/>
  <c r="M8" i="16"/>
  <c r="M6" i="16"/>
  <c r="M10" i="16"/>
  <c r="M5" i="16"/>
  <c r="M13" i="16"/>
  <c r="M17" i="16"/>
  <c r="M7" i="16"/>
  <c r="M14" i="16"/>
  <c r="M21" i="16"/>
  <c r="M20" i="16"/>
  <c r="M16" i="16"/>
  <c r="M4" i="16"/>
  <c r="M24" i="15"/>
  <c r="M22" i="15"/>
  <c r="M21" i="15"/>
  <c r="M20" i="15"/>
  <c r="M14" i="15"/>
  <c r="M23" i="15"/>
  <c r="M19" i="15"/>
  <c r="M18" i="15"/>
  <c r="M4" i="15"/>
  <c r="M16" i="15"/>
  <c r="M12" i="15"/>
  <c r="M13" i="15"/>
  <c r="M17" i="15"/>
  <c r="M15" i="15"/>
  <c r="M7" i="15"/>
  <c r="M11" i="15"/>
  <c r="M10" i="15"/>
  <c r="M6" i="15"/>
  <c r="M5" i="15"/>
  <c r="M8" i="15"/>
  <c r="M33" i="22"/>
  <c r="M36" i="22"/>
  <c r="M24" i="19"/>
  <c r="M26" i="19"/>
  <c r="M27" i="19"/>
  <c r="M28" i="19"/>
  <c r="M25" i="19"/>
  <c r="M23" i="19"/>
  <c r="M18" i="19"/>
  <c r="M9" i="19"/>
  <c r="M20" i="19"/>
  <c r="M17" i="19"/>
  <c r="M10" i="19"/>
  <c r="M19" i="19"/>
  <c r="M12" i="19"/>
  <c r="M22" i="19"/>
  <c r="M15" i="19"/>
  <c r="M21" i="19"/>
  <c r="M11" i="19"/>
  <c r="M13" i="19"/>
  <c r="M16" i="19"/>
  <c r="M14" i="19"/>
  <c r="K3" i="19"/>
  <c r="M19" i="18"/>
  <c r="M23" i="18"/>
  <c r="M5" i="18"/>
  <c r="M15" i="18"/>
  <c r="M16" i="18"/>
  <c r="K18" i="18"/>
  <c r="M18" i="18" s="1"/>
  <c r="M20" i="18"/>
  <c r="M17" i="18"/>
  <c r="M14" i="18"/>
  <c r="M11" i="18"/>
  <c r="M10" i="18"/>
  <c r="M9" i="18"/>
  <c r="M8" i="18"/>
  <c r="M7" i="18"/>
  <c r="M6" i="18"/>
  <c r="J3" i="18"/>
  <c r="K3" i="18"/>
  <c r="M13" i="18"/>
  <c r="M12" i="18"/>
  <c r="M4" i="18"/>
  <c r="M25" i="20"/>
  <c r="M24" i="20"/>
  <c r="M23" i="20"/>
  <c r="M22" i="20"/>
  <c r="M21" i="20"/>
  <c r="M20" i="20"/>
  <c r="M19" i="20"/>
  <c r="M18" i="20"/>
  <c r="M17" i="20"/>
  <c r="M16" i="20"/>
  <c r="M15" i="20"/>
  <c r="M14" i="20"/>
  <c r="M13" i="20"/>
  <c r="M12" i="20"/>
  <c r="M11" i="20"/>
  <c r="M10" i="20"/>
  <c r="M9" i="20"/>
  <c r="M8" i="20"/>
  <c r="M7" i="20"/>
  <c r="M6" i="20"/>
  <c r="M5" i="20"/>
  <c r="M4" i="20"/>
  <c r="M25" i="21"/>
  <c r="M18" i="21"/>
  <c r="M17" i="21"/>
  <c r="M23" i="21"/>
  <c r="M22" i="21"/>
  <c r="M21" i="21"/>
  <c r="M20" i="21"/>
  <c r="M19" i="21"/>
  <c r="M13" i="21"/>
  <c r="M11" i="21"/>
  <c r="M16" i="21"/>
  <c r="M15" i="21"/>
  <c r="M14" i="21"/>
  <c r="M12" i="21"/>
  <c r="M9" i="21"/>
  <c r="M8" i="21"/>
  <c r="M6" i="21"/>
  <c r="M5" i="21"/>
  <c r="M4" i="21"/>
  <c r="M7" i="21"/>
  <c r="M10" i="21"/>
  <c r="M8" i="19"/>
  <c r="M7" i="19"/>
  <c r="M6" i="19"/>
  <c r="M5" i="19"/>
  <c r="M4" i="19"/>
  <c r="M26" i="22"/>
  <c r="M25" i="22"/>
  <c r="M31" i="22"/>
  <c r="M27" i="22"/>
  <c r="M32" i="22"/>
  <c r="M30" i="22"/>
  <c r="M22" i="22"/>
  <c r="M29" i="22"/>
  <c r="M24" i="22"/>
  <c r="M23" i="22"/>
  <c r="M28" i="22"/>
  <c r="M15" i="22"/>
  <c r="M17" i="22"/>
  <c r="M21" i="22"/>
  <c r="M20" i="22"/>
  <c r="M14" i="22"/>
  <c r="M18" i="22"/>
  <c r="M16" i="22"/>
  <c r="M19" i="22"/>
  <c r="M10" i="22"/>
  <c r="M13" i="22"/>
  <c r="M12" i="22"/>
  <c r="M6" i="22"/>
  <c r="M8" i="22"/>
  <c r="M4" i="22"/>
  <c r="M11" i="22"/>
  <c r="M5" i="22"/>
  <c r="M9" i="22"/>
  <c r="M7" i="22"/>
  <c r="M4" i="14"/>
  <c r="M6" i="14"/>
  <c r="M7" i="14"/>
  <c r="M9" i="14"/>
  <c r="M10" i="14"/>
  <c r="M11" i="14"/>
  <c r="M12" i="14"/>
  <c r="M14" i="14"/>
  <c r="M15" i="14"/>
  <c r="M16" i="14"/>
  <c r="M17" i="14"/>
  <c r="M19" i="14"/>
  <c r="M21" i="14"/>
  <c r="M22" i="14"/>
  <c r="M23" i="14"/>
  <c r="M20" i="14"/>
  <c r="M13" i="14"/>
  <c r="M8" i="14"/>
  <c r="M18" i="14"/>
  <c r="M29" i="14"/>
  <c r="M5" i="14"/>
  <c r="M25" i="14"/>
  <c r="M26" i="14"/>
  <c r="M27" i="14"/>
  <c r="M28" i="14"/>
  <c r="H4" i="6"/>
  <c r="H5" i="6"/>
  <c r="H6" i="6"/>
  <c r="H7" i="6"/>
  <c r="H13" i="6"/>
  <c r="H14" i="6"/>
  <c r="H15" i="6"/>
  <c r="H16" i="6"/>
  <c r="H17" i="6"/>
  <c r="H3" i="6"/>
  <c r="K17" i="9"/>
  <c r="M17" i="9" s="1"/>
  <c r="J17" i="9"/>
  <c r="L17" i="9" s="1"/>
  <c r="L18" i="6"/>
  <c r="L7" i="4"/>
  <c r="M3" i="15" l="1"/>
  <c r="M3" i="21"/>
  <c r="M3" i="14"/>
  <c r="M3" i="16"/>
  <c r="M3" i="20"/>
  <c r="M3" i="22"/>
  <c r="M3" i="19"/>
  <c r="H18" i="6"/>
  <c r="M3" i="18"/>
  <c r="H44" i="22"/>
  <c r="J44" i="22" s="1"/>
  <c r="I44" i="22"/>
  <c r="K44" i="22" s="1"/>
  <c r="H19" i="10"/>
  <c r="J19" i="10" s="1"/>
  <c r="I19" i="10"/>
  <c r="K19" i="10" s="1"/>
  <c r="I18" i="10"/>
  <c r="H18" i="10"/>
  <c r="O17" i="9"/>
  <c r="K15" i="9"/>
  <c r="K16" i="9"/>
  <c r="M16" i="9" s="1"/>
  <c r="J15" i="9"/>
  <c r="J16" i="9"/>
  <c r="L16" i="9" s="1"/>
  <c r="J18" i="10" l="1"/>
  <c r="K18" i="10"/>
  <c r="L15" i="9"/>
  <c r="M15" i="9"/>
  <c r="M19" i="10"/>
  <c r="O16" i="9"/>
  <c r="M44" i="22"/>
  <c r="I30" i="10"/>
  <c r="K30" i="10" s="1"/>
  <c r="H30" i="10"/>
  <c r="J30" i="10" s="1"/>
  <c r="I32" i="8"/>
  <c r="K32" i="8" s="1"/>
  <c r="H32" i="8"/>
  <c r="J32" i="8" s="1"/>
  <c r="I32" i="11"/>
  <c r="K32" i="11" s="1"/>
  <c r="H32" i="11"/>
  <c r="J32" i="11" s="1"/>
  <c r="H33" i="21"/>
  <c r="J33" i="21" s="1"/>
  <c r="I33" i="21"/>
  <c r="K33" i="21" s="1"/>
  <c r="I6" i="4"/>
  <c r="K6" i="4" s="1"/>
  <c r="J6" i="4"/>
  <c r="K44" i="19"/>
  <c r="H41" i="16"/>
  <c r="J41" i="16" s="1"/>
  <c r="H46" i="14"/>
  <c r="J46" i="14" s="1"/>
  <c r="H41" i="17"/>
  <c r="J41" i="17" s="1"/>
  <c r="H41" i="15"/>
  <c r="J41" i="15" s="1"/>
  <c r="I41" i="17"/>
  <c r="K41" i="17" s="1"/>
  <c r="I41" i="16"/>
  <c r="K41" i="16" s="1"/>
  <c r="I41" i="15"/>
  <c r="K41" i="15" s="1"/>
  <c r="I46" i="14"/>
  <c r="K46" i="14" s="1"/>
  <c r="J18" i="9"/>
  <c r="J19" i="9"/>
  <c r="J20" i="9"/>
  <c r="J21" i="9"/>
  <c r="J22" i="9"/>
  <c r="J23" i="9"/>
  <c r="J24" i="9"/>
  <c r="L24" i="9" s="1"/>
  <c r="K24" i="9"/>
  <c r="M24" i="9" s="1"/>
  <c r="O15" i="9" l="1"/>
  <c r="M18" i="10"/>
  <c r="M30" i="10"/>
  <c r="M32" i="11"/>
  <c r="O24" i="9"/>
  <c r="M41" i="17"/>
  <c r="M41" i="16"/>
  <c r="M33" i="21"/>
  <c r="M44" i="19"/>
  <c r="M46" i="14"/>
  <c r="M41" i="15"/>
  <c r="M32" i="8"/>
  <c r="M6" i="4"/>
  <c r="I40" i="18"/>
  <c r="K40" i="18" s="1"/>
  <c r="H40" i="18"/>
  <c r="J40" i="18" s="1"/>
  <c r="I46" i="22"/>
  <c r="K46" i="22" s="1"/>
  <c r="H46" i="22"/>
  <c r="J46" i="22" s="1"/>
  <c r="I45" i="22"/>
  <c r="K45" i="22" s="1"/>
  <c r="H45" i="22"/>
  <c r="J45" i="22" s="1"/>
  <c r="I43" i="22"/>
  <c r="K43" i="22" s="1"/>
  <c r="H43" i="22"/>
  <c r="J43" i="22" s="1"/>
  <c r="I42" i="22"/>
  <c r="K42" i="22" s="1"/>
  <c r="H42" i="22"/>
  <c r="J42" i="22" s="1"/>
  <c r="I41" i="22"/>
  <c r="K41" i="22" s="1"/>
  <c r="H41" i="22"/>
  <c r="J41" i="22" s="1"/>
  <c r="I40" i="22"/>
  <c r="K40" i="22" s="1"/>
  <c r="H40" i="22"/>
  <c r="J40" i="22" s="1"/>
  <c r="I39" i="22"/>
  <c r="K39" i="22" s="1"/>
  <c r="H39" i="22"/>
  <c r="J39" i="22" s="1"/>
  <c r="I38" i="22"/>
  <c r="H38" i="22"/>
  <c r="I32" i="21"/>
  <c r="K32" i="21" s="1"/>
  <c r="H32" i="21"/>
  <c r="J32" i="21" s="1"/>
  <c r="I31" i="21"/>
  <c r="K31" i="21" s="1"/>
  <c r="H31" i="21"/>
  <c r="J31" i="21" s="1"/>
  <c r="I30" i="21"/>
  <c r="K30" i="21" s="1"/>
  <c r="H30" i="21"/>
  <c r="J30" i="21" s="1"/>
  <c r="I29" i="21"/>
  <c r="K29" i="21" s="1"/>
  <c r="H29" i="21"/>
  <c r="J29" i="21" s="1"/>
  <c r="I28" i="21"/>
  <c r="H28" i="21"/>
  <c r="I27" i="21"/>
  <c r="H27" i="21"/>
  <c r="I41" i="20"/>
  <c r="K41" i="20" s="1"/>
  <c r="H41" i="20"/>
  <c r="J41" i="20" s="1"/>
  <c r="I40" i="20"/>
  <c r="K40" i="20" s="1"/>
  <c r="H40" i="20"/>
  <c r="J40" i="20" s="1"/>
  <c r="I39" i="20"/>
  <c r="K39" i="20" s="1"/>
  <c r="H39" i="20"/>
  <c r="J39" i="20" s="1"/>
  <c r="I38" i="20"/>
  <c r="K38" i="20" s="1"/>
  <c r="H38" i="20"/>
  <c r="J38" i="20" s="1"/>
  <c r="I37" i="20"/>
  <c r="K37" i="20" s="1"/>
  <c r="H37" i="20"/>
  <c r="J37" i="20" s="1"/>
  <c r="I36" i="20"/>
  <c r="K36" i="20" s="1"/>
  <c r="H36" i="20"/>
  <c r="J36" i="20" s="1"/>
  <c r="M36" i="20" s="1"/>
  <c r="I35" i="20"/>
  <c r="H35" i="20"/>
  <c r="I34" i="20"/>
  <c r="K34" i="20" s="1"/>
  <c r="H34" i="20"/>
  <c r="J34" i="20" s="1"/>
  <c r="I33" i="20"/>
  <c r="K33" i="20" s="1"/>
  <c r="H33" i="20"/>
  <c r="J33" i="20" s="1"/>
  <c r="I32" i="20"/>
  <c r="K32" i="20" s="1"/>
  <c r="H32" i="20"/>
  <c r="J32" i="20" s="1"/>
  <c r="I31" i="20"/>
  <c r="K31" i="20" s="1"/>
  <c r="H31" i="20"/>
  <c r="J31" i="20" s="1"/>
  <c r="I30" i="20"/>
  <c r="K30" i="20" s="1"/>
  <c r="H30" i="20"/>
  <c r="J30" i="20" s="1"/>
  <c r="I29" i="20"/>
  <c r="K29" i="20" s="1"/>
  <c r="H29" i="20"/>
  <c r="J29" i="20" s="1"/>
  <c r="I28" i="20"/>
  <c r="K28" i="20" s="1"/>
  <c r="H28" i="20"/>
  <c r="J28" i="20" s="1"/>
  <c r="M28" i="20" s="1"/>
  <c r="I27" i="20"/>
  <c r="K27" i="20" s="1"/>
  <c r="H27" i="20"/>
  <c r="J27" i="20" s="1"/>
  <c r="I26" i="20"/>
  <c r="H26" i="20"/>
  <c r="K43" i="19"/>
  <c r="K42" i="19"/>
  <c r="K41" i="19"/>
  <c r="K40" i="19"/>
  <c r="K39" i="19"/>
  <c r="K38" i="19"/>
  <c r="K36" i="19"/>
  <c r="K35" i="19"/>
  <c r="K34" i="19"/>
  <c r="K33" i="19"/>
  <c r="K32" i="19"/>
  <c r="K31" i="19"/>
  <c r="K30" i="19"/>
  <c r="K29" i="19"/>
  <c r="I39" i="18"/>
  <c r="K39" i="18" s="1"/>
  <c r="H39" i="18"/>
  <c r="J39" i="18" s="1"/>
  <c r="I38" i="18"/>
  <c r="K38" i="18" s="1"/>
  <c r="H38" i="18"/>
  <c r="J38" i="18" s="1"/>
  <c r="I37" i="18"/>
  <c r="K37" i="18" s="1"/>
  <c r="H37" i="18"/>
  <c r="J37" i="18" s="1"/>
  <c r="I36" i="18"/>
  <c r="K36" i="18" s="1"/>
  <c r="H36" i="18"/>
  <c r="J36" i="18" s="1"/>
  <c r="I35" i="18"/>
  <c r="K35" i="18" s="1"/>
  <c r="H35" i="18"/>
  <c r="J35" i="18" s="1"/>
  <c r="I34" i="18"/>
  <c r="K34" i="18" s="1"/>
  <c r="H34" i="18"/>
  <c r="J34" i="18" s="1"/>
  <c r="I33" i="18"/>
  <c r="H33" i="18"/>
  <c r="I32" i="18"/>
  <c r="K32" i="18" s="1"/>
  <c r="H32" i="18"/>
  <c r="J32" i="18" s="1"/>
  <c r="I31" i="18"/>
  <c r="K31" i="18" s="1"/>
  <c r="H31" i="18"/>
  <c r="J31" i="18" s="1"/>
  <c r="I30" i="18"/>
  <c r="K30" i="18" s="1"/>
  <c r="H30" i="18"/>
  <c r="J30" i="18" s="1"/>
  <c r="I29" i="18"/>
  <c r="K29" i="18" s="1"/>
  <c r="H29" i="18"/>
  <c r="J29" i="18" s="1"/>
  <c r="I28" i="18"/>
  <c r="K28" i="18" s="1"/>
  <c r="H28" i="18"/>
  <c r="J28" i="18" s="1"/>
  <c r="I27" i="18"/>
  <c r="K27" i="18" s="1"/>
  <c r="H27" i="18"/>
  <c r="J27" i="18" s="1"/>
  <c r="I26" i="18"/>
  <c r="K26" i="18" s="1"/>
  <c r="H26" i="18"/>
  <c r="J26" i="18" s="1"/>
  <c r="I25" i="18"/>
  <c r="K25" i="18" s="1"/>
  <c r="H25" i="18"/>
  <c r="J25" i="18" s="1"/>
  <c r="I24" i="18"/>
  <c r="H24" i="18"/>
  <c r="I40" i="17"/>
  <c r="K40" i="17" s="1"/>
  <c r="H40" i="17"/>
  <c r="J40" i="17" s="1"/>
  <c r="I39" i="17"/>
  <c r="K39" i="17" s="1"/>
  <c r="H39" i="17"/>
  <c r="J39" i="17" s="1"/>
  <c r="I38" i="17"/>
  <c r="K38" i="17" s="1"/>
  <c r="H38" i="17"/>
  <c r="J38" i="17" s="1"/>
  <c r="I37" i="17"/>
  <c r="K37" i="17" s="1"/>
  <c r="H37" i="17"/>
  <c r="J37" i="17" s="1"/>
  <c r="I36" i="17"/>
  <c r="K36" i="17" s="1"/>
  <c r="H36" i="17"/>
  <c r="J36" i="17" s="1"/>
  <c r="I35" i="17"/>
  <c r="K35" i="17" s="1"/>
  <c r="H35" i="17"/>
  <c r="J35" i="17" s="1"/>
  <c r="I34" i="17"/>
  <c r="K34" i="17" s="1"/>
  <c r="H34" i="17"/>
  <c r="I33" i="17"/>
  <c r="K33" i="17" s="1"/>
  <c r="H33" i="17"/>
  <c r="J33" i="17" s="1"/>
  <c r="I32" i="17"/>
  <c r="K32" i="17" s="1"/>
  <c r="H32" i="17"/>
  <c r="J32" i="17" s="1"/>
  <c r="I31" i="17"/>
  <c r="K31" i="17" s="1"/>
  <c r="H31" i="17"/>
  <c r="J31" i="17" s="1"/>
  <c r="I30" i="17"/>
  <c r="K30" i="17" s="1"/>
  <c r="H30" i="17"/>
  <c r="J30" i="17" s="1"/>
  <c r="I29" i="17"/>
  <c r="K29" i="17" s="1"/>
  <c r="H29" i="17"/>
  <c r="J29" i="17" s="1"/>
  <c r="I28" i="17"/>
  <c r="K28" i="17" s="1"/>
  <c r="H28" i="17"/>
  <c r="J28" i="17" s="1"/>
  <c r="I27" i="17"/>
  <c r="K27" i="17" s="1"/>
  <c r="H27" i="17"/>
  <c r="J27" i="17" s="1"/>
  <c r="I26" i="17"/>
  <c r="K26" i="17" s="1"/>
  <c r="H26" i="17"/>
  <c r="J26" i="17" s="1"/>
  <c r="I25" i="17"/>
  <c r="H25" i="17"/>
  <c r="I40" i="16"/>
  <c r="K40" i="16" s="1"/>
  <c r="H40" i="16"/>
  <c r="J40" i="16" s="1"/>
  <c r="I39" i="16"/>
  <c r="K39" i="16" s="1"/>
  <c r="H39" i="16"/>
  <c r="J39" i="16" s="1"/>
  <c r="I38" i="16"/>
  <c r="K38" i="16" s="1"/>
  <c r="H38" i="16"/>
  <c r="J38" i="16" s="1"/>
  <c r="I37" i="16"/>
  <c r="K37" i="16" s="1"/>
  <c r="H37" i="16"/>
  <c r="J37" i="16" s="1"/>
  <c r="I36" i="16"/>
  <c r="K36" i="16" s="1"/>
  <c r="H36" i="16"/>
  <c r="J36" i="16" s="1"/>
  <c r="I35" i="16"/>
  <c r="K35" i="16" s="1"/>
  <c r="H35" i="16"/>
  <c r="J35" i="16" s="1"/>
  <c r="I34" i="16"/>
  <c r="H34" i="16"/>
  <c r="I33" i="16"/>
  <c r="K33" i="16" s="1"/>
  <c r="H33" i="16"/>
  <c r="J33" i="16" s="1"/>
  <c r="I32" i="16"/>
  <c r="K32" i="16" s="1"/>
  <c r="H32" i="16"/>
  <c r="J32" i="16" s="1"/>
  <c r="I31" i="16"/>
  <c r="K31" i="16" s="1"/>
  <c r="H31" i="16"/>
  <c r="J31" i="16" s="1"/>
  <c r="I30" i="16"/>
  <c r="K30" i="16" s="1"/>
  <c r="H30" i="16"/>
  <c r="J30" i="16" s="1"/>
  <c r="I29" i="16"/>
  <c r="K29" i="16" s="1"/>
  <c r="H29" i="16"/>
  <c r="J29" i="16" s="1"/>
  <c r="I28" i="16"/>
  <c r="K28" i="16" s="1"/>
  <c r="H28" i="16"/>
  <c r="J28" i="16" s="1"/>
  <c r="I27" i="16"/>
  <c r="K27" i="16" s="1"/>
  <c r="H27" i="16"/>
  <c r="J27" i="16" s="1"/>
  <c r="I26" i="16"/>
  <c r="K26" i="16" s="1"/>
  <c r="H26" i="16"/>
  <c r="J26" i="16" s="1"/>
  <c r="I25" i="16"/>
  <c r="H25" i="16"/>
  <c r="I40" i="15"/>
  <c r="K40" i="15" s="1"/>
  <c r="H40" i="15"/>
  <c r="J40" i="15" s="1"/>
  <c r="I39" i="15"/>
  <c r="K39" i="15" s="1"/>
  <c r="H39" i="15"/>
  <c r="J39" i="15" s="1"/>
  <c r="I38" i="15"/>
  <c r="K38" i="15" s="1"/>
  <c r="H38" i="15"/>
  <c r="J38" i="15" s="1"/>
  <c r="I37" i="15"/>
  <c r="K37" i="15" s="1"/>
  <c r="H37" i="15"/>
  <c r="J37" i="15" s="1"/>
  <c r="I36" i="15"/>
  <c r="K36" i="15" s="1"/>
  <c r="H36" i="15"/>
  <c r="J36" i="15" s="1"/>
  <c r="I35" i="15"/>
  <c r="K35" i="15" s="1"/>
  <c r="H35" i="15"/>
  <c r="J35" i="15" s="1"/>
  <c r="I34" i="15"/>
  <c r="K34" i="15" s="1"/>
  <c r="H34" i="15"/>
  <c r="J34" i="15" s="1"/>
  <c r="I33" i="15"/>
  <c r="K33" i="15" s="1"/>
  <c r="H33" i="15"/>
  <c r="J33" i="15" s="1"/>
  <c r="I32" i="15"/>
  <c r="K32" i="15" s="1"/>
  <c r="H32" i="15"/>
  <c r="J32" i="15" s="1"/>
  <c r="I31" i="15"/>
  <c r="K31" i="15" s="1"/>
  <c r="H31" i="15"/>
  <c r="J31" i="15" s="1"/>
  <c r="I30" i="15"/>
  <c r="K30" i="15" s="1"/>
  <c r="H30" i="15"/>
  <c r="J30" i="15" s="1"/>
  <c r="I29" i="15"/>
  <c r="K29" i="15" s="1"/>
  <c r="H29" i="15"/>
  <c r="J29" i="15" s="1"/>
  <c r="I28" i="15"/>
  <c r="K28" i="15" s="1"/>
  <c r="H28" i="15"/>
  <c r="J28" i="15" s="1"/>
  <c r="I27" i="15"/>
  <c r="K27" i="15" s="1"/>
  <c r="H27" i="15"/>
  <c r="J27" i="15" s="1"/>
  <c r="I26" i="15"/>
  <c r="K26" i="15" s="1"/>
  <c r="H26" i="15"/>
  <c r="J26" i="15" s="1"/>
  <c r="I25" i="15"/>
  <c r="I50" i="15" s="1"/>
  <c r="H25" i="15"/>
  <c r="I45" i="14"/>
  <c r="K45" i="14" s="1"/>
  <c r="H45" i="14"/>
  <c r="J45" i="14" s="1"/>
  <c r="I44" i="14"/>
  <c r="K44" i="14" s="1"/>
  <c r="H44" i="14"/>
  <c r="J44" i="14" s="1"/>
  <c r="I43" i="14"/>
  <c r="K43" i="14" s="1"/>
  <c r="H43" i="14"/>
  <c r="J43" i="14" s="1"/>
  <c r="I42" i="14"/>
  <c r="K42" i="14" s="1"/>
  <c r="H42" i="14"/>
  <c r="J42" i="14" s="1"/>
  <c r="I41" i="14"/>
  <c r="K41" i="14" s="1"/>
  <c r="H41" i="14"/>
  <c r="J41" i="14" s="1"/>
  <c r="I40" i="14"/>
  <c r="K40" i="14" s="1"/>
  <c r="H40" i="14"/>
  <c r="J40" i="14" s="1"/>
  <c r="I39" i="14"/>
  <c r="H39" i="14"/>
  <c r="J39" i="14" s="1"/>
  <c r="I38" i="14"/>
  <c r="K38" i="14" s="1"/>
  <c r="H38" i="14"/>
  <c r="J38" i="14" s="1"/>
  <c r="I37" i="14"/>
  <c r="K37" i="14" s="1"/>
  <c r="H37" i="14"/>
  <c r="J37" i="14" s="1"/>
  <c r="I36" i="14"/>
  <c r="K36" i="14" s="1"/>
  <c r="H36" i="14"/>
  <c r="J36" i="14" s="1"/>
  <c r="I35" i="14"/>
  <c r="K35" i="14" s="1"/>
  <c r="H35" i="14"/>
  <c r="J35" i="14" s="1"/>
  <c r="I34" i="14"/>
  <c r="K34" i="14" s="1"/>
  <c r="H34" i="14"/>
  <c r="J34" i="14" s="1"/>
  <c r="I33" i="14"/>
  <c r="K33" i="14" s="1"/>
  <c r="H33" i="14"/>
  <c r="J33" i="14" s="1"/>
  <c r="I32" i="14"/>
  <c r="K32" i="14" s="1"/>
  <c r="H32" i="14"/>
  <c r="I31" i="14"/>
  <c r="K31" i="14" s="1"/>
  <c r="H31" i="14"/>
  <c r="J31" i="14" s="1"/>
  <c r="I30" i="14"/>
  <c r="H30" i="14"/>
  <c r="I31" i="11"/>
  <c r="K31" i="11" s="1"/>
  <c r="H31" i="11"/>
  <c r="J31" i="11" s="1"/>
  <c r="I30" i="11"/>
  <c r="K30" i="11" s="1"/>
  <c r="H30" i="11"/>
  <c r="J30" i="11" s="1"/>
  <c r="I29" i="11"/>
  <c r="K29" i="11" s="1"/>
  <c r="H29" i="11"/>
  <c r="J29" i="11" s="1"/>
  <c r="I28" i="11"/>
  <c r="K28" i="11" s="1"/>
  <c r="H28" i="11"/>
  <c r="J28" i="11" s="1"/>
  <c r="I27" i="11"/>
  <c r="K27" i="11" s="1"/>
  <c r="H27" i="11"/>
  <c r="J27" i="11" s="1"/>
  <c r="I26" i="11"/>
  <c r="K26" i="11" s="1"/>
  <c r="H26" i="11"/>
  <c r="J26" i="11" s="1"/>
  <c r="I25" i="11"/>
  <c r="K25" i="11" s="1"/>
  <c r="H25" i="11"/>
  <c r="J25" i="11" s="1"/>
  <c r="I24" i="11"/>
  <c r="H24" i="11"/>
  <c r="I23" i="11"/>
  <c r="K23" i="11" s="1"/>
  <c r="H23" i="11"/>
  <c r="J23" i="11" s="1"/>
  <c r="I22" i="11"/>
  <c r="K22" i="11" s="1"/>
  <c r="H22" i="11"/>
  <c r="J22" i="11" s="1"/>
  <c r="I21" i="11"/>
  <c r="K21" i="11" s="1"/>
  <c r="H21" i="11"/>
  <c r="J21" i="11" s="1"/>
  <c r="I20" i="11"/>
  <c r="K20" i="11" s="1"/>
  <c r="H20" i="11"/>
  <c r="J20" i="11" s="1"/>
  <c r="I19" i="11"/>
  <c r="K19" i="11" s="1"/>
  <c r="H19" i="11"/>
  <c r="J19" i="11" s="1"/>
  <c r="I18" i="11"/>
  <c r="K18" i="11" s="1"/>
  <c r="H18" i="11"/>
  <c r="J18" i="11" s="1"/>
  <c r="I17" i="11"/>
  <c r="H17" i="11"/>
  <c r="I29" i="10"/>
  <c r="K29" i="10" s="1"/>
  <c r="H29" i="10"/>
  <c r="J29" i="10" s="1"/>
  <c r="I28" i="10"/>
  <c r="K28" i="10" s="1"/>
  <c r="H28" i="10"/>
  <c r="J28" i="10" s="1"/>
  <c r="I27" i="10"/>
  <c r="K27" i="10" s="1"/>
  <c r="H27" i="10"/>
  <c r="J27" i="10" s="1"/>
  <c r="I26" i="10"/>
  <c r="K26" i="10" s="1"/>
  <c r="H26" i="10"/>
  <c r="J26" i="10" s="1"/>
  <c r="I25" i="10"/>
  <c r="I37" i="10" s="1"/>
  <c r="H25" i="10"/>
  <c r="K23" i="9"/>
  <c r="M23" i="9" s="1"/>
  <c r="L23" i="9"/>
  <c r="K22" i="9"/>
  <c r="M22" i="9" s="1"/>
  <c r="L22" i="9"/>
  <c r="K21" i="9"/>
  <c r="M21" i="9" s="1"/>
  <c r="L21" i="9"/>
  <c r="K20" i="9"/>
  <c r="M20" i="9" s="1"/>
  <c r="L20" i="9"/>
  <c r="K19" i="9"/>
  <c r="M19" i="9" s="1"/>
  <c r="L19" i="9"/>
  <c r="K18" i="9"/>
  <c r="L18" i="9"/>
  <c r="I31" i="8"/>
  <c r="K31" i="8" s="1"/>
  <c r="H31" i="8"/>
  <c r="J31" i="8" s="1"/>
  <c r="I30" i="8"/>
  <c r="K30" i="8" s="1"/>
  <c r="H30" i="8"/>
  <c r="J30" i="8" s="1"/>
  <c r="I29" i="8"/>
  <c r="K29" i="8" s="1"/>
  <c r="H29" i="8"/>
  <c r="J29" i="8" s="1"/>
  <c r="I28" i="8"/>
  <c r="K28" i="8" s="1"/>
  <c r="H28" i="8"/>
  <c r="J28" i="8" s="1"/>
  <c r="I27" i="8"/>
  <c r="K27" i="8" s="1"/>
  <c r="H27" i="8"/>
  <c r="J27" i="8" s="1"/>
  <c r="I26" i="8"/>
  <c r="K26" i="8" s="1"/>
  <c r="H26" i="8"/>
  <c r="J26" i="8" s="1"/>
  <c r="I25" i="8"/>
  <c r="K25" i="8" s="1"/>
  <c r="H25" i="8"/>
  <c r="J25" i="8" s="1"/>
  <c r="I24" i="8"/>
  <c r="H24" i="8"/>
  <c r="I23" i="8"/>
  <c r="K23" i="8" s="1"/>
  <c r="H23" i="8"/>
  <c r="J23" i="8" s="1"/>
  <c r="I22" i="8"/>
  <c r="K22" i="8" s="1"/>
  <c r="H22" i="8"/>
  <c r="J22" i="8" s="1"/>
  <c r="I21" i="8"/>
  <c r="K21" i="8" s="1"/>
  <c r="H21" i="8"/>
  <c r="J21" i="8" s="1"/>
  <c r="I20" i="8"/>
  <c r="K20" i="8" s="1"/>
  <c r="H20" i="8"/>
  <c r="J20" i="8" s="1"/>
  <c r="I19" i="8"/>
  <c r="K19" i="8" s="1"/>
  <c r="H19" i="8"/>
  <c r="J19" i="8" s="1"/>
  <c r="I18" i="8"/>
  <c r="K18" i="8" s="1"/>
  <c r="H18" i="8"/>
  <c r="J18" i="8" s="1"/>
  <c r="I17" i="8"/>
  <c r="K17" i="8" s="1"/>
  <c r="H17" i="8"/>
  <c r="J17" i="8" s="1"/>
  <c r="I16" i="8"/>
  <c r="H16" i="8"/>
  <c r="I18" i="7"/>
  <c r="K18" i="7" s="1"/>
  <c r="H18" i="7"/>
  <c r="J18" i="7" s="1"/>
  <c r="I17" i="7"/>
  <c r="K17" i="7" s="1"/>
  <c r="H17" i="7"/>
  <c r="J17" i="7" s="1"/>
  <c r="I14" i="7"/>
  <c r="K14" i="7" s="1"/>
  <c r="H14" i="7"/>
  <c r="J14" i="7" s="1"/>
  <c r="I13" i="7"/>
  <c r="K13" i="7" s="1"/>
  <c r="H13" i="7"/>
  <c r="J13" i="7" s="1"/>
  <c r="I12" i="7"/>
  <c r="K12" i="7" s="1"/>
  <c r="H12" i="7"/>
  <c r="J12" i="7" s="1"/>
  <c r="I11" i="7"/>
  <c r="K11" i="7" s="1"/>
  <c r="H11" i="7"/>
  <c r="J11" i="7" s="1"/>
  <c r="I10" i="7"/>
  <c r="H10" i="7"/>
  <c r="J17" i="6"/>
  <c r="I17" i="6"/>
  <c r="K17" i="6" s="1"/>
  <c r="J16" i="6"/>
  <c r="I16" i="6"/>
  <c r="K16" i="6" s="1"/>
  <c r="J15" i="6"/>
  <c r="I15" i="6"/>
  <c r="K15" i="6" s="1"/>
  <c r="J14" i="6"/>
  <c r="I14" i="6"/>
  <c r="K14" i="6" s="1"/>
  <c r="J13" i="6"/>
  <c r="I13" i="6"/>
  <c r="K13" i="6" s="1"/>
  <c r="J7" i="6"/>
  <c r="I7" i="6"/>
  <c r="J6" i="6"/>
  <c r="I6" i="6"/>
  <c r="K6" i="6" s="1"/>
  <c r="J5" i="6"/>
  <c r="I5" i="6"/>
  <c r="J4" i="6"/>
  <c r="I4" i="6"/>
  <c r="J3" i="6"/>
  <c r="I3" i="6"/>
  <c r="K12" i="5"/>
  <c r="M12" i="5" s="1"/>
  <c r="J12" i="5"/>
  <c r="L12" i="5" s="1"/>
  <c r="K11" i="5"/>
  <c r="M11" i="5" s="1"/>
  <c r="J11" i="5"/>
  <c r="K10" i="5"/>
  <c r="M10" i="5" s="1"/>
  <c r="J10" i="5"/>
  <c r="L10" i="5" s="1"/>
  <c r="K9" i="5"/>
  <c r="M9" i="5" s="1"/>
  <c r="J9" i="5"/>
  <c r="L9" i="5" s="1"/>
  <c r="K8" i="5"/>
  <c r="M8" i="5" s="1"/>
  <c r="J8" i="5"/>
  <c r="L8" i="5" s="1"/>
  <c r="K7" i="5"/>
  <c r="J7" i="5"/>
  <c r="J5" i="4"/>
  <c r="I5" i="4"/>
  <c r="K5" i="4" s="1"/>
  <c r="I4" i="4"/>
  <c r="K4" i="4" s="1"/>
  <c r="H4" i="4"/>
  <c r="J4" i="4" s="1"/>
  <c r="I3" i="4"/>
  <c r="H3" i="4"/>
  <c r="H7" i="4" s="1"/>
  <c r="I7" i="3"/>
  <c r="K7" i="3" s="1"/>
  <c r="H7" i="3"/>
  <c r="J7" i="3" s="1"/>
  <c r="I6" i="3"/>
  <c r="H6" i="3"/>
  <c r="I5" i="3"/>
  <c r="K5" i="3" s="1"/>
  <c r="H5" i="3"/>
  <c r="J5" i="3" s="1"/>
  <c r="I4" i="3"/>
  <c r="K4" i="3" s="1"/>
  <c r="H4" i="3"/>
  <c r="J4" i="3" s="1"/>
  <c r="I3" i="3"/>
  <c r="H3" i="3"/>
  <c r="H50" i="15" l="1"/>
  <c r="M35" i="16"/>
  <c r="K27" i="21"/>
  <c r="J27" i="21"/>
  <c r="M40" i="20"/>
  <c r="J17" i="11"/>
  <c r="K17" i="11"/>
  <c r="K16" i="8"/>
  <c r="J16" i="8"/>
  <c r="L7" i="5"/>
  <c r="K25" i="17"/>
  <c r="J25" i="17"/>
  <c r="J25" i="15"/>
  <c r="J50" i="15" s="1"/>
  <c r="M35" i="15"/>
  <c r="K25" i="15"/>
  <c r="K50" i="15" s="1"/>
  <c r="J25" i="16"/>
  <c r="K25" i="16"/>
  <c r="J30" i="14"/>
  <c r="K30" i="14"/>
  <c r="J26" i="20"/>
  <c r="M16" i="6"/>
  <c r="K18" i="6"/>
  <c r="J18" i="6"/>
  <c r="M25" i="8"/>
  <c r="K10" i="7"/>
  <c r="J10" i="7"/>
  <c r="M11" i="7"/>
  <c r="M14" i="7"/>
  <c r="M28" i="10"/>
  <c r="M18" i="11"/>
  <c r="M19" i="11"/>
  <c r="M22" i="11"/>
  <c r="M20" i="11"/>
  <c r="M23" i="11"/>
  <c r="M21" i="11"/>
  <c r="M27" i="11"/>
  <c r="I18" i="6"/>
  <c r="O12" i="5"/>
  <c r="M5" i="4"/>
  <c r="M38" i="17"/>
  <c r="M27" i="17"/>
  <c r="M26" i="17"/>
  <c r="M31" i="16"/>
  <c r="M30" i="16"/>
  <c r="M40" i="16"/>
  <c r="M26" i="16"/>
  <c r="M38" i="16"/>
  <c r="M28" i="15"/>
  <c r="M27" i="15"/>
  <c r="M33" i="15"/>
  <c r="M42" i="22"/>
  <c r="J24" i="18"/>
  <c r="K24" i="18"/>
  <c r="M32" i="18"/>
  <c r="M40" i="18"/>
  <c r="M39" i="18"/>
  <c r="M37" i="18"/>
  <c r="M25" i="18"/>
  <c r="M32" i="20"/>
  <c r="M38" i="20"/>
  <c r="K26" i="20"/>
  <c r="M37" i="20"/>
  <c r="M29" i="21"/>
  <c r="M29" i="19"/>
  <c r="M33" i="19"/>
  <c r="M39" i="19"/>
  <c r="M38" i="19"/>
  <c r="M36" i="19"/>
  <c r="M43" i="19"/>
  <c r="J38" i="22"/>
  <c r="K38" i="22"/>
  <c r="M36" i="14"/>
  <c r="M45" i="14"/>
  <c r="M36" i="15"/>
  <c r="M31" i="15"/>
  <c r="M43" i="14"/>
  <c r="M40" i="14"/>
  <c r="M31" i="14"/>
  <c r="M41" i="14"/>
  <c r="M39" i="20"/>
  <c r="M29" i="20"/>
  <c r="K35" i="20"/>
  <c r="J35" i="20"/>
  <c r="M32" i="19"/>
  <c r="K37" i="19"/>
  <c r="M42" i="19"/>
  <c r="M30" i="19"/>
  <c r="M35" i="19"/>
  <c r="M31" i="19"/>
  <c r="M40" i="19"/>
  <c r="M29" i="18"/>
  <c r="M36" i="18"/>
  <c r="M28" i="18"/>
  <c r="J33" i="18"/>
  <c r="K33" i="18"/>
  <c r="M30" i="18"/>
  <c r="M27" i="18"/>
  <c r="M35" i="18"/>
  <c r="M28" i="17"/>
  <c r="M30" i="17"/>
  <c r="J34" i="17"/>
  <c r="M34" i="17" s="1"/>
  <c r="M35" i="17"/>
  <c r="M32" i="17"/>
  <c r="M40" i="17"/>
  <c r="M27" i="16"/>
  <c r="J34" i="16"/>
  <c r="M33" i="16"/>
  <c r="K34" i="16"/>
  <c r="M32" i="16"/>
  <c r="M39" i="16"/>
  <c r="M39" i="15"/>
  <c r="M37" i="15"/>
  <c r="M30" i="15"/>
  <c r="M34" i="15"/>
  <c r="M38" i="15"/>
  <c r="M35" i="14"/>
  <c r="K39" i="14"/>
  <c r="M39" i="14" s="1"/>
  <c r="M34" i="14"/>
  <c r="M42" i="14"/>
  <c r="M38" i="14"/>
  <c r="M44" i="14"/>
  <c r="M33" i="14"/>
  <c r="J25" i="10"/>
  <c r="K25" i="10"/>
  <c r="K37" i="10" s="1"/>
  <c r="M18" i="9"/>
  <c r="M18" i="8"/>
  <c r="M28" i="8"/>
  <c r="M23" i="8"/>
  <c r="M29" i="8"/>
  <c r="M3" i="6"/>
  <c r="O9" i="5"/>
  <c r="K3" i="4"/>
  <c r="M4" i="4"/>
  <c r="M32" i="21"/>
  <c r="M31" i="21"/>
  <c r="K28" i="21"/>
  <c r="J28" i="21"/>
  <c r="M41" i="20"/>
  <c r="M31" i="20"/>
  <c r="M34" i="20"/>
  <c r="M33" i="20"/>
  <c r="M30" i="20"/>
  <c r="M27" i="20"/>
  <c r="J32" i="14"/>
  <c r="M32" i="14" s="1"/>
  <c r="M26" i="11"/>
  <c r="K24" i="11"/>
  <c r="J24" i="11"/>
  <c r="K24" i="8"/>
  <c r="J24" i="8"/>
  <c r="M15" i="6"/>
  <c r="M13" i="6"/>
  <c r="M7" i="6"/>
  <c r="M17" i="6"/>
  <c r="M14" i="6"/>
  <c r="M6" i="6"/>
  <c r="M4" i="6"/>
  <c r="M5" i="6"/>
  <c r="O10" i="5"/>
  <c r="M7" i="5"/>
  <c r="O8" i="5"/>
  <c r="L11" i="5"/>
  <c r="O11" i="5" s="1"/>
  <c r="J3" i="4"/>
  <c r="M21" i="8"/>
  <c r="M27" i="8"/>
  <c r="M20" i="8"/>
  <c r="M17" i="8"/>
  <c r="M22" i="8"/>
  <c r="M26" i="8"/>
  <c r="M13" i="7"/>
  <c r="M12" i="7"/>
  <c r="M17" i="7"/>
  <c r="K6" i="3"/>
  <c r="J6" i="3"/>
  <c r="M4" i="3"/>
  <c r="M5" i="3"/>
  <c r="J3" i="3"/>
  <c r="K3" i="3"/>
  <c r="M43" i="22"/>
  <c r="M41" i="22"/>
  <c r="M46" i="22"/>
  <c r="M27" i="10"/>
  <c r="M45" i="22"/>
  <c r="M29" i="17"/>
  <c r="O21" i="9"/>
  <c r="O22" i="9"/>
  <c r="O23" i="9"/>
  <c r="O20" i="9"/>
  <c r="M29" i="10"/>
  <c r="M18" i="7"/>
  <c r="M7" i="3"/>
  <c r="O19" i="9"/>
  <c r="M30" i="8"/>
  <c r="M29" i="11"/>
  <c r="M32" i="15"/>
  <c r="M34" i="19"/>
  <c r="M30" i="21"/>
  <c r="M39" i="22"/>
  <c r="M29" i="15"/>
  <c r="M26" i="10"/>
  <c r="M40" i="15"/>
  <c r="M19" i="8"/>
  <c r="M28" i="16"/>
  <c r="M36" i="16"/>
  <c r="M31" i="17"/>
  <c r="M39" i="17"/>
  <c r="M26" i="18"/>
  <c r="M34" i="18"/>
  <c r="M38" i="18"/>
  <c r="M40" i="22"/>
  <c r="M26" i="15"/>
  <c r="M29" i="16"/>
  <c r="M37" i="16"/>
  <c r="M36" i="17"/>
  <c r="M31" i="18"/>
  <c r="M33" i="17"/>
  <c r="M31" i="11"/>
  <c r="M37" i="14"/>
  <c r="M37" i="17"/>
  <c r="M30" i="11"/>
  <c r="M31" i="8"/>
  <c r="M28" i="11"/>
  <c r="M41" i="19"/>
  <c r="M25" i="11"/>
  <c r="M25" i="17" l="1"/>
  <c r="M24" i="8"/>
  <c r="M27" i="21"/>
  <c r="M25" i="16"/>
  <c r="M17" i="11"/>
  <c r="M25" i="15"/>
  <c r="M50" i="15" s="1"/>
  <c r="M30" i="14"/>
  <c r="M55" i="14" s="1"/>
  <c r="M16" i="8"/>
  <c r="O7" i="5"/>
  <c r="M10" i="7"/>
  <c r="M24" i="11"/>
  <c r="O18" i="9"/>
  <c r="M3" i="4"/>
  <c r="M24" i="18"/>
  <c r="M26" i="20"/>
  <c r="M28" i="21"/>
  <c r="M37" i="19"/>
  <c r="M35" i="20"/>
  <c r="M38" i="22"/>
  <c r="M33" i="18"/>
  <c r="M34" i="16"/>
  <c r="M25" i="10"/>
  <c r="M7" i="4"/>
  <c r="M18" i="6"/>
  <c r="M6" i="3"/>
  <c r="M3" i="3"/>
  <c r="M43" i="21" l="1"/>
  <c r="O33" i="9"/>
  <c r="M50" i="16"/>
</calcChain>
</file>

<file path=xl/sharedStrings.xml><?xml version="1.0" encoding="utf-8"?>
<sst xmlns="http://schemas.openxmlformats.org/spreadsheetml/2006/main" count="2161" uniqueCount="342">
  <si>
    <t>房号</t>
  </si>
  <si>
    <t>9-1-104#</t>
  </si>
  <si>
    <t>9-1-105#</t>
  </si>
  <si>
    <t>9-1-106#</t>
  </si>
  <si>
    <t>9-1-107#</t>
  </si>
  <si>
    <t>9-1-108#</t>
  </si>
  <si>
    <t>9-1-109#</t>
  </si>
  <si>
    <t>29-201#</t>
  </si>
  <si>
    <t>29-202#</t>
  </si>
  <si>
    <t>29-203#</t>
  </si>
  <si>
    <t>29-204#</t>
  </si>
  <si>
    <t>29-205#</t>
  </si>
  <si>
    <t>29-301#</t>
  </si>
  <si>
    <t>29-302#</t>
  </si>
  <si>
    <t>29-303#</t>
  </si>
  <si>
    <t>29-304#</t>
  </si>
  <si>
    <t>29-305#</t>
  </si>
  <si>
    <t>日期</t>
  </si>
  <si>
    <t>用户名</t>
  </si>
  <si>
    <t>水表</t>
  </si>
  <si>
    <t>电表</t>
  </si>
  <si>
    <t>实际使用</t>
  </si>
  <si>
    <t>水费</t>
  </si>
  <si>
    <t>电费</t>
  </si>
  <si>
    <t>租金</t>
  </si>
  <si>
    <t>合计</t>
  </si>
  <si>
    <t>押金</t>
  </si>
  <si>
    <t>备注</t>
  </si>
  <si>
    <t>9-102#</t>
  </si>
  <si>
    <t>王鑫怡</t>
  </si>
  <si>
    <t>2023年12月17日-2024年4月17日</t>
  </si>
  <si>
    <t>4个月</t>
  </si>
  <si>
    <t>2024年12月18日-2025年4月17日</t>
  </si>
  <si>
    <t>2025年4月18日-2025年8月17日</t>
  </si>
  <si>
    <t>9-102# 电表</t>
  </si>
  <si>
    <t>9-1-101#</t>
  </si>
  <si>
    <t>张兴发</t>
  </si>
  <si>
    <t>水费每月10元</t>
  </si>
  <si>
    <t>水费10元，实收237元</t>
  </si>
  <si>
    <t>9-1-102# 电表</t>
  </si>
  <si>
    <t>9-1-102#</t>
  </si>
  <si>
    <t>王世良</t>
  </si>
  <si>
    <t>电费已结清</t>
  </si>
  <si>
    <t>叶秀卿</t>
  </si>
  <si>
    <t>2024年结清</t>
  </si>
  <si>
    <t>结清退房</t>
  </si>
  <si>
    <t>李艳</t>
  </si>
  <si>
    <t>12月19日——12月31日13天共83元余117元（不含水电）</t>
  </si>
  <si>
    <t>聂喜平</t>
  </si>
  <si>
    <t>马帅</t>
  </si>
  <si>
    <t>加103的13度，实收213元</t>
  </si>
  <si>
    <t>马开会</t>
  </si>
  <si>
    <t>12月19日——12月31日13天共62元余88元（不含水电）</t>
  </si>
  <si>
    <t>罗爱香</t>
  </si>
  <si>
    <t>聂帅</t>
  </si>
  <si>
    <t>1月扣10天，11-15号按新租金计算：270/31*5=43</t>
  </si>
  <si>
    <t>聂鹏</t>
  </si>
  <si>
    <t>聂耀</t>
  </si>
  <si>
    <t>1月扣10天，11-15号按新租金计算：220/31*5=35</t>
  </si>
  <si>
    <t>1月扣10天，11-15号按新租金计算：240/31*5=38</t>
  </si>
  <si>
    <t>林银洲</t>
  </si>
  <si>
    <t>1月扣4天，5-15号按新租金计算：240/31*11=85</t>
  </si>
  <si>
    <t>高小香</t>
  </si>
  <si>
    <t>1月扣4天，5-15号按新租金计算：250/31*11=88</t>
  </si>
  <si>
    <t>吴拔冯</t>
  </si>
  <si>
    <t>刘诚</t>
  </si>
  <si>
    <t>实收300元</t>
  </si>
  <si>
    <t>29-301#</t>
    <phoneticPr fontId="1" type="noConversion"/>
  </si>
  <si>
    <t>2月10号-2月28号19天*9=171元</t>
    <phoneticPr fontId="1" type="noConversion"/>
  </si>
  <si>
    <t>备注</t>
    <phoneticPr fontId="1" type="noConversion"/>
  </si>
  <si>
    <t>101#水表</t>
    <phoneticPr fontId="1" type="noConversion"/>
  </si>
  <si>
    <t>102#水表</t>
    <phoneticPr fontId="1" type="noConversion"/>
  </si>
  <si>
    <t>厅电表</t>
    <phoneticPr fontId="1" type="noConversion"/>
  </si>
  <si>
    <t>9-1-107#</t>
    <phoneticPr fontId="1" type="noConversion"/>
  </si>
  <si>
    <t>厨房水表</t>
    <phoneticPr fontId="1" type="noConversion"/>
  </si>
  <si>
    <t>29-203#</t>
    <phoneticPr fontId="1" type="noConversion"/>
  </si>
  <si>
    <t>29-205#</t>
    <phoneticPr fontId="1" type="noConversion"/>
  </si>
  <si>
    <t>29-204#</t>
    <phoneticPr fontId="1" type="noConversion"/>
  </si>
  <si>
    <t>29-305#</t>
    <phoneticPr fontId="1" type="noConversion"/>
  </si>
  <si>
    <t>唐诗仁</t>
    <phoneticPr fontId="1" type="noConversion"/>
  </si>
  <si>
    <t>29-302#</t>
    <phoneticPr fontId="1" type="noConversion"/>
  </si>
  <si>
    <t>9-1-101#</t>
    <phoneticPr fontId="1" type="noConversion"/>
  </si>
  <si>
    <t>张兴发</t>
    <phoneticPr fontId="1" type="noConversion"/>
  </si>
  <si>
    <t>谢艳香</t>
    <phoneticPr fontId="1" type="noConversion"/>
  </si>
  <si>
    <t>29-304#</t>
    <phoneticPr fontId="1" type="noConversion"/>
  </si>
  <si>
    <t>9-1-109#</t>
    <phoneticPr fontId="1" type="noConversion"/>
  </si>
  <si>
    <t>9-1-106#</t>
    <phoneticPr fontId="1" type="noConversion"/>
  </si>
  <si>
    <t>9-1-108#</t>
    <phoneticPr fontId="1" type="noConversion"/>
  </si>
  <si>
    <t>29-1#</t>
    <phoneticPr fontId="1" type="noConversion"/>
  </si>
  <si>
    <t>9-1-107#</t>
    <phoneticPr fontId="1" type="noConversion"/>
  </si>
  <si>
    <t>吴学谦</t>
    <phoneticPr fontId="1" type="noConversion"/>
  </si>
  <si>
    <t>水电费结清搬离</t>
    <phoneticPr fontId="1" type="noConversion"/>
  </si>
  <si>
    <t>吴国贤</t>
    <phoneticPr fontId="1" type="noConversion"/>
  </si>
  <si>
    <t>9-1-108#</t>
    <phoneticPr fontId="1" type="noConversion"/>
  </si>
  <si>
    <t>李长英</t>
    <phoneticPr fontId="1" type="noConversion"/>
  </si>
  <si>
    <t>9-1-102#</t>
    <phoneticPr fontId="1" type="noConversion"/>
  </si>
  <si>
    <t>9-102#</t>
    <phoneticPr fontId="1" type="noConversion"/>
  </si>
  <si>
    <t>29-305#</t>
    <phoneticPr fontId="1" type="noConversion"/>
  </si>
  <si>
    <t>唐诗仁</t>
    <phoneticPr fontId="1" type="noConversion"/>
  </si>
  <si>
    <t>合计</t>
    <phoneticPr fontId="1" type="noConversion"/>
  </si>
  <si>
    <t>29-305#</t>
    <phoneticPr fontId="1" type="noConversion"/>
  </si>
  <si>
    <t>蔡志勇</t>
    <phoneticPr fontId="1" type="noConversion"/>
  </si>
  <si>
    <t>已结清搬离，退押金186元</t>
    <phoneticPr fontId="1" type="noConversion"/>
  </si>
  <si>
    <t>合计</t>
    <phoneticPr fontId="1" type="noConversion"/>
  </si>
  <si>
    <t>合计</t>
    <phoneticPr fontId="1" type="noConversion"/>
  </si>
  <si>
    <t>/</t>
    <phoneticPr fontId="1" type="noConversion"/>
  </si>
  <si>
    <t>已结清搬离退101元（押金100，房租1元）</t>
    <phoneticPr fontId="1" type="noConversion"/>
  </si>
  <si>
    <t>/</t>
    <phoneticPr fontId="1" type="noConversion"/>
  </si>
  <si>
    <t>合计</t>
    <phoneticPr fontId="1" type="noConversion"/>
  </si>
  <si>
    <t>当前度数</t>
  </si>
  <si>
    <t>上次度数</t>
  </si>
  <si>
    <t>上次余50元房租，水费10元</t>
  </si>
  <si>
    <t>用水量</t>
  </si>
  <si>
    <t>用电量</t>
  </si>
  <si>
    <t>29-201#</t>
    <phoneticPr fontId="1" type="noConversion"/>
  </si>
  <si>
    <t>29-202#</t>
    <phoneticPr fontId="1" type="noConversion"/>
  </si>
  <si>
    <t>日期</t>
    <phoneticPr fontId="1" type="noConversion"/>
  </si>
  <si>
    <t>项目</t>
    <phoneticPr fontId="1" type="noConversion"/>
  </si>
  <si>
    <t>金额</t>
    <phoneticPr fontId="1" type="noConversion"/>
  </si>
  <si>
    <t>304不锈钢户外6户上下门电表箱</t>
    <phoneticPr fontId="1" type="noConversion"/>
  </si>
  <si>
    <t>收购29-305#房空调</t>
    <phoneticPr fontId="1" type="noConversion"/>
  </si>
  <si>
    <t>合计支出</t>
    <phoneticPr fontId="1" type="noConversion"/>
  </si>
  <si>
    <t>弯头、管夹、塑料子、电工胶布20个等</t>
    <phoneticPr fontId="1" type="noConversion"/>
  </si>
  <si>
    <t>304不锈钢户外4户上下门电表箱</t>
    <phoneticPr fontId="1" type="noConversion"/>
  </si>
  <si>
    <t>退29-305#押金</t>
    <phoneticPr fontId="1" type="noConversion"/>
  </si>
  <si>
    <t>类别</t>
    <phoneticPr fontId="1" type="noConversion"/>
  </si>
  <si>
    <t>支付类型</t>
    <phoneticPr fontId="1" type="noConversion"/>
  </si>
  <si>
    <t>维护支出</t>
  </si>
  <si>
    <t>维护支出</t>
    <phoneticPr fontId="1" type="noConversion"/>
  </si>
  <si>
    <t>退押金/房租</t>
  </si>
  <si>
    <t>不锈钢入户门</t>
    <phoneticPr fontId="1" type="noConversion"/>
  </si>
  <si>
    <t>惠彤鑫五金店</t>
    <phoneticPr fontId="1" type="noConversion"/>
  </si>
  <si>
    <t>海康威视DS-2DE3Q144MY-T/GLSE(AY8107693)监控</t>
    <phoneticPr fontId="1" type="noConversion"/>
  </si>
  <si>
    <t>海康威视互联套餐（年度畅享）</t>
    <phoneticPr fontId="1" type="noConversion"/>
  </si>
  <si>
    <t>带钥匙水龙头2个 惠彤鑫五金店</t>
    <phoneticPr fontId="1" type="noConversion"/>
  </si>
  <si>
    <t>线管、弯头、三通、开关、线盒等 惠彤鑫五金店</t>
    <phoneticPr fontId="1" type="noConversion"/>
  </si>
  <si>
    <t>4分线管1捆、管夹、电子电表1个、6分水管1根、6分弯头、6分三通等 惠彤鑫五金店</t>
    <phoneticPr fontId="1" type="noConversion"/>
  </si>
  <si>
    <t>线槽1条 惠彤鑫五金店</t>
    <phoneticPr fontId="1" type="noConversion"/>
  </si>
  <si>
    <t>电表1个 惠彤鑫五金店</t>
    <phoneticPr fontId="1" type="noConversion"/>
  </si>
  <si>
    <t>电表5个、4平电线2困 惠彤鑫五金店</t>
    <phoneticPr fontId="1" type="noConversion"/>
  </si>
  <si>
    <t>电工胶布 惠彤鑫五金店</t>
    <phoneticPr fontId="1" type="noConversion"/>
  </si>
  <si>
    <t>陈冬生</t>
    <phoneticPr fontId="1" type="noConversion"/>
  </si>
  <si>
    <t>盖云龙</t>
    <phoneticPr fontId="1" type="noConversion"/>
  </si>
  <si>
    <t>29-302#</t>
    <phoneticPr fontId="1" type="noConversion"/>
  </si>
  <si>
    <t>小谢（张维香）</t>
    <phoneticPr fontId="1" type="noConversion"/>
  </si>
  <si>
    <t>20-304#</t>
    <phoneticPr fontId="1" type="noConversion"/>
  </si>
  <si>
    <t>胡文君</t>
    <phoneticPr fontId="1" type="noConversion"/>
  </si>
  <si>
    <t>2月19号结清搬离</t>
    <phoneticPr fontId="1" type="noConversion"/>
  </si>
  <si>
    <t>江涛</t>
    <phoneticPr fontId="1" type="noConversion"/>
  </si>
  <si>
    <t>6月21号结清搬离</t>
    <phoneticPr fontId="1" type="noConversion"/>
  </si>
  <si>
    <t>童永华</t>
    <phoneticPr fontId="1" type="noConversion"/>
  </si>
  <si>
    <t>旧表电费结清</t>
    <phoneticPr fontId="1" type="noConversion"/>
  </si>
  <si>
    <t>29-303#</t>
    <phoneticPr fontId="1" type="noConversion"/>
  </si>
  <si>
    <t>李玉东</t>
    <phoneticPr fontId="1" type="noConversion"/>
  </si>
  <si>
    <t>3月28号结清搬离</t>
    <phoneticPr fontId="1" type="noConversion"/>
  </si>
  <si>
    <t>旧电表结清</t>
    <phoneticPr fontId="1" type="noConversion"/>
  </si>
  <si>
    <t>李品兴</t>
    <phoneticPr fontId="1" type="noConversion"/>
  </si>
  <si>
    <t>高小香</t>
    <phoneticPr fontId="1" type="noConversion"/>
  </si>
  <si>
    <t>新电表度数</t>
    <phoneticPr fontId="1" type="noConversion"/>
  </si>
  <si>
    <t>2023年1月17日-2023年2月17日（9-102#、9-1-102）</t>
    <phoneticPr fontId="1" type="noConversion"/>
  </si>
  <si>
    <t>2023年2月17日-2023年5月17日（9-102#、9-1-102）</t>
    <phoneticPr fontId="1" type="noConversion"/>
  </si>
  <si>
    <t>2023年5月17日-2023年8月17日（9-102#、9-1-102）</t>
    <phoneticPr fontId="1" type="noConversion"/>
  </si>
  <si>
    <t>2023年8月17日-2023年12月17日（9-102#、9-1-102#）</t>
    <phoneticPr fontId="1" type="noConversion"/>
  </si>
  <si>
    <t>2024年4月18日-2024年8月17日</t>
    <phoneticPr fontId="1" type="noConversion"/>
  </si>
  <si>
    <t>2024年8月18日-2024年12月17日</t>
    <phoneticPr fontId="1" type="noConversion"/>
  </si>
  <si>
    <t>9-1-107# 水表</t>
    <phoneticPr fontId="1" type="noConversion"/>
  </si>
  <si>
    <t>9-1-107#</t>
    <phoneticPr fontId="1" type="noConversion"/>
  </si>
  <si>
    <t>杨学军</t>
    <phoneticPr fontId="1" type="noConversion"/>
  </si>
  <si>
    <t>结清搬离</t>
    <phoneticPr fontId="1" type="noConversion"/>
  </si>
  <si>
    <t>王应河</t>
    <phoneticPr fontId="1" type="noConversion"/>
  </si>
  <si>
    <t>2023年8月2号结清搬离</t>
    <phoneticPr fontId="1" type="noConversion"/>
  </si>
  <si>
    <t>2024年10月20日结清搬离</t>
    <phoneticPr fontId="1" type="noConversion"/>
  </si>
  <si>
    <t>2025年1月1号—15号共15天：200/31*15=96</t>
    <phoneticPr fontId="1" type="noConversion"/>
  </si>
  <si>
    <t>9-1-107#</t>
    <phoneticPr fontId="1" type="noConversion"/>
  </si>
  <si>
    <t>2023年10月1号-2023年12月1号</t>
    <phoneticPr fontId="1" type="noConversion"/>
  </si>
  <si>
    <t>2023年8月1号-2023年10月1号</t>
    <phoneticPr fontId="1" type="noConversion"/>
  </si>
  <si>
    <t>2023年12月1号-2024年2月1号</t>
    <phoneticPr fontId="1" type="noConversion"/>
  </si>
  <si>
    <t>2024年2月1号-2024年4月1号</t>
    <phoneticPr fontId="1" type="noConversion"/>
  </si>
  <si>
    <t>2024年4月1号-2024年6月1号</t>
    <phoneticPr fontId="1" type="noConversion"/>
  </si>
  <si>
    <t>2024年6月1号-2024年8月1号</t>
    <phoneticPr fontId="1" type="noConversion"/>
  </si>
  <si>
    <t>2024年8月1号-2024年10月1号</t>
    <phoneticPr fontId="1" type="noConversion"/>
  </si>
  <si>
    <t>退29-304#押金</t>
    <phoneticPr fontId="1" type="noConversion"/>
  </si>
  <si>
    <t>9-1-109#</t>
    <phoneticPr fontId="1" type="noConversion"/>
  </si>
  <si>
    <t>刘诚</t>
    <phoneticPr fontId="1" type="noConversion"/>
  </si>
  <si>
    <t>结清搬离，退房租、押金190元</t>
    <phoneticPr fontId="1" type="noConversion"/>
  </si>
  <si>
    <t>退9-1-108#押金</t>
    <phoneticPr fontId="1" type="noConversion"/>
  </si>
  <si>
    <t>罗爱香</t>
    <phoneticPr fontId="1" type="noConversion"/>
  </si>
  <si>
    <t>2024年3月31日结清搬离</t>
    <phoneticPr fontId="1" type="noConversion"/>
  </si>
  <si>
    <t>8月4日结清搬离，退押金43元</t>
    <phoneticPr fontId="1" type="noConversion"/>
  </si>
  <si>
    <t>预收水电费30元</t>
    <phoneticPr fontId="1" type="noConversion"/>
  </si>
  <si>
    <t>预收水电费40元</t>
    <phoneticPr fontId="1" type="noConversion"/>
  </si>
  <si>
    <t>扣预收水电费70元，2024年11月17号结清搬离</t>
    <phoneticPr fontId="1" type="noConversion"/>
  </si>
  <si>
    <t>9-1-108#</t>
    <phoneticPr fontId="1" type="noConversion"/>
  </si>
  <si>
    <t>彭光明</t>
    <phoneticPr fontId="1" type="noConversion"/>
  </si>
  <si>
    <t>2025年3月11号结清退房，退房租100元</t>
    <phoneticPr fontId="1" type="noConversion"/>
  </si>
  <si>
    <t>16A插座（29-301#）惠彤鑫五金店</t>
    <phoneticPr fontId="1" type="noConversion"/>
  </si>
  <si>
    <t>冲水阀（9-1-107#）惠彤鑫五金店</t>
    <phoneticPr fontId="1" type="noConversion"/>
  </si>
  <si>
    <t>PVC水管、水管直接 惠彤鑫五金店</t>
    <phoneticPr fontId="1" type="noConversion"/>
  </si>
  <si>
    <t>冲水阀（29-205#）惠彤鑫五金店</t>
    <phoneticPr fontId="1" type="noConversion"/>
  </si>
  <si>
    <t>40管1支、弯头8个、管夹4个、漏保开关5个25A、两P空开1个、6平电线若干、螺丝刀1把等 惠彤鑫五金店</t>
    <phoneticPr fontId="1" type="noConversion"/>
  </si>
  <si>
    <t>2.5平电线（蓝、黄）各100米 惠彤鑫五金店</t>
    <phoneticPr fontId="1" type="noConversion"/>
  </si>
  <si>
    <t>电表4个、40A总开关1个、25A漏保开关4个、20A空开4个等 惠彤鑫五金店</t>
    <phoneticPr fontId="1" type="noConversion"/>
  </si>
  <si>
    <t>2025年5月1号-2025年7月1号</t>
    <phoneticPr fontId="1" type="noConversion"/>
  </si>
  <si>
    <t>2025年7月1号-2025年9月1号</t>
    <phoneticPr fontId="1" type="noConversion"/>
  </si>
  <si>
    <t>2024年5月2号-2024年7月2号</t>
    <phoneticPr fontId="1" type="noConversion"/>
  </si>
  <si>
    <t>2023年6月2号-2023年8月2号</t>
  </si>
  <si>
    <t>2023年8月2号-2023年10月2号</t>
  </si>
  <si>
    <t>2023年10月2号-2023年12月2号</t>
  </si>
  <si>
    <t>2023年12月2号-2024年2月2号</t>
  </si>
  <si>
    <t>2024年3月2号-2024年5月2号</t>
  </si>
  <si>
    <t>2023年4月2号-2023年6月2号</t>
  </si>
  <si>
    <t>2024年7月2号-2024年9月2号</t>
    <phoneticPr fontId="1" type="noConversion"/>
  </si>
  <si>
    <t>2024年9月2号-2024年11月2号</t>
    <phoneticPr fontId="1" type="noConversion"/>
  </si>
  <si>
    <t>2024年11月2号-2025年1月2号</t>
    <phoneticPr fontId="1" type="noConversion"/>
  </si>
  <si>
    <t>2025年1月1号-2025年3月1号</t>
    <phoneticPr fontId="1" type="noConversion"/>
  </si>
  <si>
    <t>2025年3月1号-2025年5月1号</t>
    <phoneticPr fontId="1" type="noConversion"/>
  </si>
  <si>
    <t>退9-1-108#房租</t>
    <phoneticPr fontId="1" type="noConversion"/>
  </si>
  <si>
    <t>马本飞</t>
    <phoneticPr fontId="1" type="noConversion"/>
  </si>
  <si>
    <t>2024年5月16号结清搬离，退房租50元</t>
    <phoneticPr fontId="1" type="noConversion"/>
  </si>
  <si>
    <t>2024年3月25号-2024年5月25号</t>
    <phoneticPr fontId="1" type="noConversion"/>
  </si>
  <si>
    <t>9-1-106#</t>
    <phoneticPr fontId="1" type="noConversion"/>
  </si>
  <si>
    <t>李艳</t>
    <phoneticPr fontId="1" type="noConversion"/>
  </si>
  <si>
    <t>2023年6月5号-2023年8月5号</t>
  </si>
  <si>
    <t>2023年8月5号-2023年10月5号</t>
  </si>
  <si>
    <t>2023年10月5号-2023年12月5号</t>
  </si>
  <si>
    <t>2023年4月5号-2023年6月5号</t>
  </si>
  <si>
    <t>2023年12月5号-2024年2月5号</t>
    <phoneticPr fontId="1" type="noConversion"/>
  </si>
  <si>
    <t>2024年3月5号-2024年5月5号</t>
    <phoneticPr fontId="1" type="noConversion"/>
  </si>
  <si>
    <t>2024年5月5号-2024年7月5号</t>
    <phoneticPr fontId="1" type="noConversion"/>
  </si>
  <si>
    <t>2024年7月5号-2024年9月5号</t>
    <phoneticPr fontId="1" type="noConversion"/>
  </si>
  <si>
    <t>2024年9月5号-2024年11月5号</t>
    <phoneticPr fontId="1" type="noConversion"/>
  </si>
  <si>
    <t>9-1-108#</t>
    <phoneticPr fontId="1" type="noConversion"/>
  </si>
  <si>
    <t>江涛</t>
    <phoneticPr fontId="1" type="noConversion"/>
  </si>
  <si>
    <t>2023年2月21号结清搬离</t>
    <phoneticPr fontId="1" type="noConversion"/>
  </si>
  <si>
    <t>101# 电表</t>
    <phoneticPr fontId="1" type="noConversion"/>
  </si>
  <si>
    <t>102# 电表</t>
    <phoneticPr fontId="1" type="noConversion"/>
  </si>
  <si>
    <t>5月3——5月15号新表电费</t>
    <phoneticPr fontId="1" type="noConversion"/>
  </si>
  <si>
    <t>7月18号结清搬离</t>
    <phoneticPr fontId="1" type="noConversion"/>
  </si>
  <si>
    <t>余额124元（29-201#退房剩余）</t>
    <phoneticPr fontId="1" type="noConversion"/>
  </si>
  <si>
    <t>1月5号结清搬离，退押金135元</t>
    <phoneticPr fontId="1" type="noConversion"/>
  </si>
  <si>
    <t>新租户2025-7-18入住</t>
    <phoneticPr fontId="1" type="noConversion"/>
  </si>
  <si>
    <t>已结清搬离，退押金80元</t>
    <phoneticPr fontId="1" type="noConversion"/>
  </si>
  <si>
    <t>退押金/房租</t>
    <phoneticPr fontId="1" type="noConversion"/>
  </si>
  <si>
    <t>FLKL特牌照明 人感球泡7W白光（晚上感应）10个</t>
    <phoneticPr fontId="1" type="noConversion"/>
  </si>
  <si>
    <t>正泰漏电保护开关1P+N 20A 4个等</t>
    <phoneticPr fontId="1" type="noConversion"/>
  </si>
  <si>
    <t>正泰2.5平蓝色电缆线50米、红色电缆线50米，2P40A空开2个，1P16A空开4个</t>
    <phoneticPr fontId="1" type="noConversion"/>
  </si>
  <si>
    <t>海康威视监控网线水晶头加厚15U工程款（超五类）100颗</t>
    <phoneticPr fontId="1" type="noConversion"/>
  </si>
  <si>
    <t>海康威视摄影头高清夜视网络H.265户外室外白光全彩、对讲、POE供电【旗舰款】4mm,6mp 4个</t>
    <phoneticPr fontId="1" type="noConversion"/>
  </si>
  <si>
    <t>海康威视16路非POE 硬盘6TB，600万像素，4K画面显示，2盘位（经济型） 1台</t>
    <phoneticPr fontId="1" type="noConversion"/>
  </si>
  <si>
    <t>海康威视POE交换机8口【8口全千兆】高功率供电钢壳/防雷 1台</t>
    <phoneticPr fontId="1" type="noConversion"/>
  </si>
  <si>
    <t xml:space="preserve">海康威视超五类网线-灰色 100米 </t>
    <phoneticPr fontId="1" type="noConversion"/>
  </si>
  <si>
    <t>太阳能户外灯 4盏</t>
    <phoneticPr fontId="1" type="noConversion"/>
  </si>
  <si>
    <t>光爵金钻球泡 E27 28W白光 10个</t>
    <phoneticPr fontId="1" type="noConversion"/>
  </si>
  <si>
    <t>正泰电表 13个</t>
    <phoneticPr fontId="1" type="noConversion"/>
  </si>
  <si>
    <t>1P漏保开关 18个</t>
    <phoneticPr fontId="1" type="noConversion"/>
  </si>
  <si>
    <t>2P 40A空开 3个</t>
    <phoneticPr fontId="1" type="noConversion"/>
  </si>
  <si>
    <t>光爵金钻球泡 E27 28W白光 20个</t>
    <phoneticPr fontId="1" type="noConversion"/>
  </si>
  <si>
    <t>卫生间门锁 2套 惠彤鑫五金店</t>
    <phoneticPr fontId="1" type="noConversion"/>
  </si>
  <si>
    <t>退9-1-109#房租+押金</t>
    <phoneticPr fontId="1" type="noConversion"/>
  </si>
  <si>
    <t>退9-1-108#房租+押金</t>
    <phoneticPr fontId="1" type="noConversion"/>
  </si>
  <si>
    <t>退29-305#房租+押金</t>
    <phoneticPr fontId="1" type="noConversion"/>
  </si>
  <si>
    <t>退9-1-101#房租+押金</t>
    <phoneticPr fontId="1" type="noConversion"/>
  </si>
  <si>
    <t>李林</t>
    <phoneticPr fontId="1" type="noConversion"/>
  </si>
  <si>
    <t>8月14号-31号18天*8=144元</t>
    <phoneticPr fontId="1" type="noConversion"/>
  </si>
  <si>
    <t>29-301#</t>
    <phoneticPr fontId="1" type="noConversion"/>
  </si>
  <si>
    <t>9-1-105#</t>
    <phoneticPr fontId="1" type="noConversion"/>
  </si>
  <si>
    <t>2025年9月1号-2025年11月1号</t>
    <phoneticPr fontId="1" type="noConversion"/>
  </si>
  <si>
    <t>9-102#</t>
    <phoneticPr fontId="1" type="noConversion"/>
  </si>
  <si>
    <t>王鑫怡</t>
    <phoneticPr fontId="1" type="noConversion"/>
  </si>
  <si>
    <t>2025年8月18日-2025年12月17日</t>
    <phoneticPr fontId="1" type="noConversion"/>
  </si>
  <si>
    <t>4个月</t>
    <phoneticPr fontId="1" type="noConversion"/>
  </si>
  <si>
    <t>9-1-102#</t>
    <phoneticPr fontId="1" type="noConversion"/>
  </si>
  <si>
    <t>王世良</t>
    <phoneticPr fontId="1" type="noConversion"/>
  </si>
  <si>
    <t>2个月</t>
    <phoneticPr fontId="1" type="noConversion"/>
  </si>
  <si>
    <t>马开会</t>
    <phoneticPr fontId="1" type="noConversion"/>
  </si>
  <si>
    <t>29-305#</t>
    <phoneticPr fontId="1" type="noConversion"/>
  </si>
  <si>
    <t>李林</t>
    <phoneticPr fontId="1" type="noConversion"/>
  </si>
  <si>
    <t>马帅</t>
    <phoneticPr fontId="1" type="noConversion"/>
  </si>
  <si>
    <t>海康威视无线监控器wifi家用手512G；【wifi6/网线】360°全彩对讲（送Wi-Fi6录像机）；4mm;400万像素</t>
    <phoneticPr fontId="1" type="noConversion"/>
  </si>
  <si>
    <t>付1185元，下月扣1元</t>
    <phoneticPr fontId="1" type="noConversion"/>
  </si>
  <si>
    <t>吴拔冯</t>
    <phoneticPr fontId="1" type="noConversion"/>
  </si>
  <si>
    <t>海康威视摄影头高清夜视网络H.265户外室外白光全彩、对讲、POE供电【旗舰款】4mm,4PM，1个</t>
    <phoneticPr fontId="1" type="noConversion"/>
  </si>
  <si>
    <t>聂喜平</t>
    <phoneticPr fontId="1" type="noConversion"/>
  </si>
  <si>
    <t>聂耀</t>
    <phoneticPr fontId="1" type="noConversion"/>
  </si>
  <si>
    <t>2025年11月1号-2025年12月31号</t>
    <phoneticPr fontId="1" type="noConversion"/>
  </si>
  <si>
    <t>水塔增压器</t>
    <phoneticPr fontId="1" type="noConversion"/>
  </si>
  <si>
    <t>1寸水管8根、4分线管1包、1寸90度弯头20个、1寸三通5个、1寸外牙2个、1寸活接（止回阀）3个、1寸堵头10个、1寸管夹20个、塑料子10排、4分线管夹30个、4分线管弯头20个、胶水1瓶、（50）外牙1个、50化32直接2个、1寸球阀1个、锯片2支、5口排插2个、运费15元</t>
    <phoneticPr fontId="1" type="noConversion"/>
  </si>
  <si>
    <t>聂帅</t>
    <phoneticPr fontId="1" type="noConversion"/>
  </si>
  <si>
    <t>聂鹏</t>
    <phoneticPr fontId="1" type="noConversion"/>
  </si>
  <si>
    <t>王福星</t>
    <phoneticPr fontId="1" type="noConversion"/>
  </si>
  <si>
    <t>2025年12月18日-2026年4月17日</t>
    <phoneticPr fontId="1" type="noConversion"/>
  </si>
  <si>
    <t>已结清搬离，退押金15元</t>
    <phoneticPr fontId="1" type="noConversion"/>
  </si>
  <si>
    <t>2026年1月1号-2026年3月1号</t>
    <phoneticPr fontId="1" type="noConversion"/>
  </si>
  <si>
    <t>林银洲</t>
    <phoneticPr fontId="1" type="noConversion"/>
  </si>
  <si>
    <t>多收63块，下次退还</t>
    <phoneticPr fontId="1" type="noConversion"/>
  </si>
  <si>
    <t>结算前期水、电费，不含房租</t>
    <phoneticPr fontId="1" type="noConversion"/>
  </si>
  <si>
    <t>多付10元，下月扣除</t>
    <phoneticPr fontId="1" type="noConversion"/>
  </si>
  <si>
    <t>退押金179元（结水电费，扣丢失门禁卡10元）</t>
    <phoneticPr fontId="1" type="noConversion"/>
  </si>
  <si>
    <t>29-202</t>
    <phoneticPr fontId="1" type="noConversion"/>
  </si>
  <si>
    <t>陈清香</t>
    <phoneticPr fontId="1" type="noConversion"/>
  </si>
  <si>
    <t>实收260元</t>
    <phoneticPr fontId="1" type="noConversion"/>
  </si>
  <si>
    <t>李蒙召</t>
    <phoneticPr fontId="1" type="noConversion"/>
  </si>
  <si>
    <t>2026年2月-3月房租</t>
    <phoneticPr fontId="1" type="noConversion"/>
  </si>
  <si>
    <t>2026年2月-3月房租，优惠50元房租（介绍人过来29-305#租住6个月）</t>
    <phoneticPr fontId="1" type="noConversion"/>
  </si>
  <si>
    <t>鑫华胜五交 水表（1寸）</t>
    <phoneticPr fontId="1" type="noConversion"/>
  </si>
  <si>
    <t>鑫华胜五交 抽水泵1台、电线（3*2.5平）20米、三井1个、软管20米、海水绳5斤、25管2根、25直接5个、25弯头5个、花洒1套、25管（PPR 热）2根、25PPR弯头4个、25PPR公母牙2个、25PVC外牙2个等（老房子维修）</t>
    <phoneticPr fontId="1" type="noConversion"/>
  </si>
  <si>
    <t>公牛轨道插座3孔2个（老房子维修）</t>
    <phoneticPr fontId="1" type="noConversion"/>
  </si>
  <si>
    <t>公牛插座（无线）3种，共5个</t>
    <phoneticPr fontId="1" type="noConversion"/>
  </si>
  <si>
    <t>512G高速通用TF内存卡（2块）监控扩容用</t>
    <phoneticPr fontId="1" type="noConversion"/>
  </si>
  <si>
    <t>鑫华胜五交 4分线管（1包）、钢丝线、绳夹2个、花篮螺丝1个、50管、开关、底座、电线、灯头、插座等（老房子维修）</t>
    <phoneticPr fontId="1" type="noConversion"/>
  </si>
  <si>
    <t>海康威视4G太阳能监控摄像头3个</t>
    <phoneticPr fontId="1" type="noConversion"/>
  </si>
  <si>
    <t>304不锈钢户外配电箱1个 竖箱500*400*180（老房子维修）</t>
    <phoneticPr fontId="1" type="noConversion"/>
  </si>
  <si>
    <t>太阳能摄像头电源延长线10米2条、8米2条</t>
    <phoneticPr fontId="1" type="noConversion"/>
  </si>
  <si>
    <t>29-304#</t>
    <phoneticPr fontId="1" type="noConversion"/>
  </si>
  <si>
    <t>付锦雄</t>
    <phoneticPr fontId="1" type="noConversion"/>
  </si>
  <si>
    <t>房租300元，从3月10号算起</t>
    <phoneticPr fontId="1" type="noConversion"/>
  </si>
  <si>
    <t>29-303#</t>
    <phoneticPr fontId="1" type="noConversion"/>
  </si>
  <si>
    <t>罗爱香</t>
    <phoneticPr fontId="1" type="noConversion"/>
  </si>
  <si>
    <t>9-1-105#</t>
    <phoneticPr fontId="1" type="noConversion"/>
  </si>
  <si>
    <t>叶秀卿</t>
    <phoneticPr fontId="1" type="noConversion"/>
  </si>
  <si>
    <t>2026年3月1号-2026年5月1号</t>
    <phoneticPr fontId="1" type="noConversion"/>
  </si>
  <si>
    <t>2个月</t>
    <phoneticPr fontId="1" type="noConversion"/>
  </si>
  <si>
    <t>9-1-107#</t>
    <phoneticPr fontId="1" type="noConversion"/>
  </si>
  <si>
    <t>29-202#</t>
    <phoneticPr fontId="1" type="noConversion"/>
  </si>
  <si>
    <t>聂帅</t>
    <phoneticPr fontId="1" type="noConversion"/>
  </si>
  <si>
    <t>29-203#</t>
    <phoneticPr fontId="1" type="noConversion"/>
  </si>
  <si>
    <t>聂鹏</t>
    <phoneticPr fontId="1" type="noConversion"/>
  </si>
  <si>
    <t>29-204#</t>
    <phoneticPr fontId="1" type="noConversion"/>
  </si>
  <si>
    <t>聂耀</t>
    <phoneticPr fontId="1" type="noConversion"/>
  </si>
  <si>
    <t>29-205#</t>
    <phoneticPr fontId="1" type="noConversion"/>
  </si>
  <si>
    <t>聂喜平</t>
    <phoneticPr fontId="1" type="noConversion"/>
  </si>
  <si>
    <t>29-1#</t>
    <phoneticPr fontId="1" type="noConversion"/>
  </si>
  <si>
    <t>谢艳香</t>
    <phoneticPr fontId="1" type="noConversion"/>
  </si>
  <si>
    <t>29-301#</t>
    <phoneticPr fontId="1" type="noConversion"/>
  </si>
  <si>
    <t>林银洲</t>
    <phoneticPr fontId="1" type="noConversion"/>
  </si>
  <si>
    <t>29-302#</t>
    <phoneticPr fontId="1" type="noConversion"/>
  </si>
  <si>
    <t>王福星</t>
    <phoneticPr fontId="1" type="noConversion"/>
  </si>
  <si>
    <t>29-305#</t>
    <phoneticPr fontId="1" type="noConversion"/>
  </si>
  <si>
    <t>江涛</t>
    <phoneticPr fontId="1" type="noConversion"/>
  </si>
  <si>
    <t>29-304#</t>
    <phoneticPr fontId="1" type="noConversion"/>
  </si>
  <si>
    <t>29-201#</t>
    <phoneticPr fontId="1" type="noConversion"/>
  </si>
  <si>
    <t>李蒙召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</si>
</sst>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¥&quot;#,##0.00_);[Red]\(&quot;¥&quot;#,##0.00\)"/>
    <numFmt numFmtId="176" formatCode="yyyy&quot;年&quot;m&quot;月&quot;d&quot;日&quot;;@"/>
    <numFmt numFmtId="177" formatCode="0.00_ "/>
    <numFmt numFmtId="178" formatCode="0.00_);[Red]\(0.00\)"/>
  </numFmts>
  <fonts count="8">
    <font>
      <sz val="12"/>
      <color theme="1"/>
      <name val="Arial"/>
      <scheme val="minor"/>
    </font>
    <font>
      <sz val="9"/>
      <name val="Arial"/>
      <family val="3"/>
      <charset val="134"/>
      <scheme val="minor"/>
    </font>
    <font>
      <sz val="16"/>
      <color theme="1"/>
      <name val="仿宋_GB2312"/>
      <family val="3"/>
      <charset val="134"/>
    </font>
    <font>
      <sz val="14"/>
      <color theme="1"/>
      <name val="仿宋_GB2312"/>
      <family val="3"/>
      <charset val="134"/>
    </font>
    <font>
      <b/>
      <sz val="18"/>
      <color theme="1"/>
      <name val="仿宋_GB2312"/>
      <family val="3"/>
      <charset val="134"/>
    </font>
    <font>
      <sz val="14"/>
      <color theme="1"/>
      <name val="仿宋_GB2312"/>
      <charset val="134"/>
    </font>
    <font>
      <sz val="14"/>
      <color theme="1"/>
      <name val="Arial"/>
      <family val="2"/>
      <scheme val="minor"/>
    </font>
    <font>
      <sz val="14"/>
      <color rgb="FFFF0000"/>
      <name val="仿宋_GB2312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8" fontId="2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58" fontId="3" fillId="0" borderId="0" xfId="0" applyNumberFormat="1" applyFont="1">
      <alignment vertical="center"/>
    </xf>
    <xf numFmtId="8" fontId="3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8" fontId="7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36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theme="1"/>
      </font>
      <fill>
        <patternFill patternType="none">
          <fgColor auto="1"/>
          <bgColor auto="1"/>
        </patternFill>
      </fill>
    </dxf>
    <dxf>
      <font>
        <color rgb="FFC00000"/>
      </font>
    </dxf>
    <dxf>
      <font>
        <color theme="0"/>
      </font>
      <fill>
        <patternFill>
          <bgColor rgb="FF0070C0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zoomScale="120" zoomScaleNormal="120" workbookViewId="0">
      <pane ySplit="2" topLeftCell="A3" activePane="bottomLeft" state="frozen"/>
      <selection activeCell="F38" sqref="F38"/>
      <selection pane="bottomLeft" activeCell="Q9" sqref="Q9"/>
    </sheetView>
  </sheetViews>
  <sheetFormatPr baseColWidth="10" defaultColWidth="10.85546875" defaultRowHeight="18"/>
  <cols>
    <col min="1" max="1" width="16.855468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1" width="9.42578125" style="7" bestFit="1" customWidth="1"/>
    <col min="12" max="12" width="9.85546875" style="7" bestFit="1" customWidth="1"/>
    <col min="13" max="13" width="12.28515625" style="8" bestFit="1" customWidth="1"/>
    <col min="14" max="14" width="9.42578125" style="5" bestFit="1" customWidth="1"/>
    <col min="15" max="15" width="32.85546875" style="5" bestFit="1" customWidth="1"/>
    <col min="16" max="16" width="6.5703125" style="5" bestFit="1" customWidth="1"/>
    <col min="17" max="16384" width="10.85546875" style="5"/>
  </cols>
  <sheetData>
    <row r="1" spans="1:16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  <c r="O1" s="24" t="s">
        <v>27</v>
      </c>
      <c r="P1" s="24"/>
    </row>
    <row r="2" spans="1:16">
      <c r="A2" s="27"/>
      <c r="B2" s="24"/>
      <c r="C2" s="24"/>
      <c r="D2" s="4" t="s">
        <v>109</v>
      </c>
      <c r="E2" s="4" t="s">
        <v>110</v>
      </c>
      <c r="F2" s="4" t="s">
        <v>109</v>
      </c>
      <c r="G2" s="4" t="s">
        <v>110</v>
      </c>
      <c r="H2" s="4" t="s">
        <v>112</v>
      </c>
      <c r="I2" s="4" t="s">
        <v>113</v>
      </c>
      <c r="J2" s="25"/>
      <c r="K2" s="25"/>
      <c r="L2" s="25"/>
      <c r="M2" s="26"/>
      <c r="N2" s="4">
        <v>0</v>
      </c>
      <c r="O2" s="24"/>
      <c r="P2" s="24"/>
    </row>
    <row r="3" spans="1:16">
      <c r="A3" s="6">
        <v>45277</v>
      </c>
      <c r="B3" s="5" t="s">
        <v>28</v>
      </c>
      <c r="C3" s="5" t="s">
        <v>29</v>
      </c>
      <c r="D3" s="5">
        <v>0</v>
      </c>
      <c r="E3" s="5">
        <v>0</v>
      </c>
      <c r="F3" s="5">
        <v>0</v>
      </c>
      <c r="G3" s="5">
        <v>0</v>
      </c>
      <c r="H3" s="5">
        <f t="shared" ref="H3:H9" si="0">D3-E3</f>
        <v>0</v>
      </c>
      <c r="I3" s="5">
        <f t="shared" ref="I3:I9" si="1">F3-G3</f>
        <v>0</v>
      </c>
      <c r="J3" s="7">
        <f t="shared" ref="J3:J9" si="2">H3*3.5</f>
        <v>0</v>
      </c>
      <c r="K3" s="7">
        <f t="shared" ref="K3:K9" si="3">I3*1</f>
        <v>0</v>
      </c>
      <c r="L3" s="7">
        <v>400</v>
      </c>
      <c r="M3" s="8">
        <f t="shared" ref="M3:M9" si="4">J3+K3+L3</f>
        <v>400</v>
      </c>
      <c r="O3" s="5" t="s">
        <v>30</v>
      </c>
      <c r="P3" s="5" t="s">
        <v>31</v>
      </c>
    </row>
    <row r="4" spans="1:16">
      <c r="A4" s="6">
        <v>45400</v>
      </c>
      <c r="B4" s="9" t="s">
        <v>28</v>
      </c>
      <c r="C4" s="5" t="s">
        <v>29</v>
      </c>
      <c r="D4" s="5">
        <v>0</v>
      </c>
      <c r="E4" s="5">
        <v>0</v>
      </c>
      <c r="F4" s="5">
        <v>0</v>
      </c>
      <c r="G4" s="5">
        <v>0</v>
      </c>
      <c r="H4" s="5">
        <f t="shared" si="0"/>
        <v>0</v>
      </c>
      <c r="I4" s="5">
        <f t="shared" si="1"/>
        <v>0</v>
      </c>
      <c r="J4" s="7">
        <f t="shared" si="2"/>
        <v>0</v>
      </c>
      <c r="K4" s="7">
        <f t="shared" si="3"/>
        <v>0</v>
      </c>
      <c r="L4" s="7">
        <v>400</v>
      </c>
      <c r="M4" s="8">
        <f t="shared" si="4"/>
        <v>400</v>
      </c>
      <c r="O4" s="5" t="s">
        <v>163</v>
      </c>
      <c r="P4" s="5" t="s">
        <v>31</v>
      </c>
    </row>
    <row r="5" spans="1:16">
      <c r="A5" s="6">
        <v>45522</v>
      </c>
      <c r="B5" s="5" t="s">
        <v>28</v>
      </c>
      <c r="C5" s="5" t="s">
        <v>29</v>
      </c>
      <c r="D5" s="5">
        <v>0</v>
      </c>
      <c r="E5" s="5">
        <v>0</v>
      </c>
      <c r="F5" s="5">
        <v>0</v>
      </c>
      <c r="G5" s="5">
        <v>0</v>
      </c>
      <c r="H5" s="5">
        <f t="shared" si="0"/>
        <v>0</v>
      </c>
      <c r="I5" s="5">
        <f t="shared" si="1"/>
        <v>0</v>
      </c>
      <c r="J5" s="7">
        <f t="shared" si="2"/>
        <v>0</v>
      </c>
      <c r="K5" s="7">
        <f t="shared" si="3"/>
        <v>0</v>
      </c>
      <c r="L5" s="7">
        <v>400</v>
      </c>
      <c r="M5" s="8">
        <f t="shared" si="4"/>
        <v>400</v>
      </c>
      <c r="O5" s="5" t="s">
        <v>164</v>
      </c>
      <c r="P5" s="5" t="s">
        <v>31</v>
      </c>
    </row>
    <row r="6" spans="1:16">
      <c r="A6" s="6">
        <v>45684</v>
      </c>
      <c r="B6" s="5" t="s">
        <v>28</v>
      </c>
      <c r="C6" s="5" t="s">
        <v>29</v>
      </c>
      <c r="D6" s="5">
        <v>0</v>
      </c>
      <c r="E6" s="5">
        <v>0</v>
      </c>
      <c r="F6" s="5">
        <v>0</v>
      </c>
      <c r="G6" s="5">
        <v>0</v>
      </c>
      <c r="H6" s="5">
        <f t="shared" si="0"/>
        <v>0</v>
      </c>
      <c r="I6" s="5">
        <f t="shared" si="1"/>
        <v>0</v>
      </c>
      <c r="J6" s="7">
        <f t="shared" si="2"/>
        <v>0</v>
      </c>
      <c r="K6" s="7">
        <f t="shared" si="3"/>
        <v>0</v>
      </c>
      <c r="L6" s="7">
        <v>400</v>
      </c>
      <c r="M6" s="8">
        <f t="shared" si="4"/>
        <v>400</v>
      </c>
      <c r="O6" s="5" t="s">
        <v>32</v>
      </c>
      <c r="P6" s="5" t="s">
        <v>31</v>
      </c>
    </row>
    <row r="7" spans="1:16">
      <c r="A7" s="6">
        <v>45765</v>
      </c>
      <c r="B7" s="5" t="s">
        <v>28</v>
      </c>
      <c r="C7" s="5" t="s">
        <v>29</v>
      </c>
      <c r="D7" s="5">
        <v>0</v>
      </c>
      <c r="E7" s="5">
        <v>0</v>
      </c>
      <c r="F7" s="5">
        <v>0</v>
      </c>
      <c r="G7" s="5">
        <v>0</v>
      </c>
      <c r="H7" s="5">
        <f t="shared" si="0"/>
        <v>0</v>
      </c>
      <c r="I7" s="5">
        <f t="shared" si="1"/>
        <v>0</v>
      </c>
      <c r="J7" s="7">
        <f t="shared" si="2"/>
        <v>0</v>
      </c>
      <c r="K7" s="7">
        <f t="shared" si="3"/>
        <v>0</v>
      </c>
      <c r="L7" s="7">
        <v>400</v>
      </c>
      <c r="M7" s="8">
        <f t="shared" si="4"/>
        <v>400</v>
      </c>
      <c r="O7" s="5" t="s">
        <v>33</v>
      </c>
      <c r="P7" s="5" t="s">
        <v>31</v>
      </c>
    </row>
    <row r="8" spans="1:16">
      <c r="A8" s="6">
        <v>45887</v>
      </c>
      <c r="B8" s="5" t="s">
        <v>267</v>
      </c>
      <c r="C8" s="5" t="s">
        <v>268</v>
      </c>
      <c r="D8" s="5">
        <v>0</v>
      </c>
      <c r="E8" s="5">
        <v>0</v>
      </c>
      <c r="F8" s="5">
        <v>0</v>
      </c>
      <c r="G8" s="5">
        <v>0</v>
      </c>
      <c r="H8" s="5">
        <f t="shared" si="0"/>
        <v>0</v>
      </c>
      <c r="I8" s="5">
        <f t="shared" si="1"/>
        <v>0</v>
      </c>
      <c r="J8" s="7">
        <f t="shared" si="2"/>
        <v>0</v>
      </c>
      <c r="K8" s="7">
        <f t="shared" si="3"/>
        <v>0</v>
      </c>
      <c r="L8" s="7">
        <v>400</v>
      </c>
      <c r="M8" s="8">
        <f t="shared" si="4"/>
        <v>400</v>
      </c>
      <c r="O8" s="5" t="s">
        <v>269</v>
      </c>
      <c r="P8" s="5" t="s">
        <v>270</v>
      </c>
    </row>
    <row r="9" spans="1:16">
      <c r="A9" s="6">
        <v>46009</v>
      </c>
      <c r="B9" s="5" t="s">
        <v>96</v>
      </c>
      <c r="C9" s="5" t="s">
        <v>268</v>
      </c>
      <c r="D9" s="5">
        <v>0</v>
      </c>
      <c r="E9" s="5">
        <v>0</v>
      </c>
      <c r="F9" s="5">
        <v>0</v>
      </c>
      <c r="G9" s="5">
        <v>0</v>
      </c>
      <c r="H9" s="5">
        <f t="shared" si="0"/>
        <v>0</v>
      </c>
      <c r="I9" s="5">
        <f t="shared" si="1"/>
        <v>0</v>
      </c>
      <c r="J9" s="7">
        <f t="shared" si="2"/>
        <v>0</v>
      </c>
      <c r="K9" s="7">
        <f t="shared" si="3"/>
        <v>0</v>
      </c>
      <c r="L9" s="7">
        <v>400</v>
      </c>
      <c r="M9" s="8">
        <f t="shared" si="4"/>
        <v>400</v>
      </c>
      <c r="O9" s="5" t="s">
        <v>290</v>
      </c>
      <c r="P9" s="5" t="s">
        <v>270</v>
      </c>
    </row>
    <row r="10" spans="1:16">
      <c r="A10" s="3" t="s">
        <v>99</v>
      </c>
      <c r="B10" s="4" t="s">
        <v>105</v>
      </c>
      <c r="C10" s="4" t="s">
        <v>105</v>
      </c>
      <c r="D10" s="4" t="s">
        <v>105</v>
      </c>
      <c r="E10" s="4" t="s">
        <v>105</v>
      </c>
      <c r="F10" s="4" t="s">
        <v>105</v>
      </c>
      <c r="G10" s="4" t="s">
        <v>105</v>
      </c>
      <c r="H10" s="5">
        <f t="shared" ref="H10:M10" si="5">SUBTOTAL(9,H3:H9)</f>
        <v>0</v>
      </c>
      <c r="I10" s="5">
        <f t="shared" si="5"/>
        <v>0</v>
      </c>
      <c r="J10" s="7">
        <f t="shared" si="5"/>
        <v>0</v>
      </c>
      <c r="K10" s="7">
        <f t="shared" si="5"/>
        <v>0</v>
      </c>
      <c r="L10" s="7">
        <f t="shared" si="5"/>
        <v>2800</v>
      </c>
      <c r="M10" s="10">
        <f t="shared" si="5"/>
        <v>2800</v>
      </c>
    </row>
    <row r="40" spans="6:6" ht="20">
      <c r="F40" s="1"/>
    </row>
  </sheetData>
  <mergeCells count="11">
    <mergeCell ref="J1:J2"/>
    <mergeCell ref="K1:K2"/>
    <mergeCell ref="L1:L2"/>
    <mergeCell ref="M1:M2"/>
    <mergeCell ref="O1:P2"/>
    <mergeCell ref="D1:E1"/>
    <mergeCell ref="F1:G1"/>
    <mergeCell ref="H1:I1"/>
    <mergeCell ref="A1:A2"/>
    <mergeCell ref="B1:B2"/>
    <mergeCell ref="C1:C2"/>
  </mergeCells>
  <phoneticPr fontId="1" type="noConversion"/>
  <conditionalFormatting sqref="A1:XFD1048576">
    <cfRule type="cellIs" dxfId="35" priority="1" operator="equal">
      <formula>0</formula>
    </cfRule>
  </conditionalFormatting>
  <conditionalFormatting sqref="N3:N39">
    <cfRule type="cellIs" priority="2" operator="notEqual">
      <formula>"完成"</formula>
    </cfRule>
    <cfRule type="cellIs" dxfId="34" priority="3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O38"/>
  <sheetViews>
    <sheetView zoomScale="120" zoomScaleNormal="120" workbookViewId="0">
      <pane ySplit="2" topLeftCell="A3" activePane="bottomLeft" state="frozen"/>
      <selection activeCell="F38" sqref="F38"/>
      <selection pane="bottomLeft" activeCell="I12" sqref="I12"/>
    </sheetView>
  </sheetViews>
  <sheetFormatPr baseColWidth="10" defaultColWidth="10.85546875" defaultRowHeight="18"/>
  <cols>
    <col min="1" max="1" width="15.7109375" style="6" bestFit="1" customWidth="1"/>
    <col min="2" max="2" width="9.8554687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2" width="9.42578125" style="7" bestFit="1" customWidth="1"/>
    <col min="13" max="13" width="9.85546875" style="8" bestFit="1" customWidth="1"/>
    <col min="14" max="14" width="9.42578125" style="5" bestFit="1" customWidth="1"/>
    <col min="15" max="15" width="43.28515625" style="5" bestFit="1" customWidth="1"/>
    <col min="16" max="16384" width="10.85546875" style="5"/>
  </cols>
  <sheetData>
    <row r="1" spans="1:15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34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  <c r="O1" s="24" t="s">
        <v>27</v>
      </c>
    </row>
    <row r="2" spans="1:15">
      <c r="A2" s="27"/>
      <c r="B2" s="24"/>
      <c r="C2" s="24"/>
      <c r="D2" s="4" t="s">
        <v>109</v>
      </c>
      <c r="E2" s="4" t="s">
        <v>110</v>
      </c>
      <c r="F2" s="4" t="s">
        <v>109</v>
      </c>
      <c r="G2" s="4" t="s">
        <v>110</v>
      </c>
      <c r="H2" s="4" t="s">
        <v>112</v>
      </c>
      <c r="I2" s="4" t="s">
        <v>113</v>
      </c>
      <c r="J2" s="25"/>
      <c r="K2" s="25"/>
      <c r="L2" s="25"/>
      <c r="M2" s="26"/>
      <c r="N2" s="4">
        <v>0</v>
      </c>
      <c r="O2" s="24"/>
    </row>
    <row r="3" spans="1:15">
      <c r="A3" s="6">
        <v>45787</v>
      </c>
      <c r="B3" s="5" t="s">
        <v>35</v>
      </c>
      <c r="C3" s="5" t="s">
        <v>36</v>
      </c>
      <c r="D3" s="5">
        <v>0</v>
      </c>
      <c r="E3" s="5">
        <v>0</v>
      </c>
      <c r="F3" s="5">
        <v>1</v>
      </c>
      <c r="G3" s="5">
        <v>1</v>
      </c>
      <c r="H3" s="5">
        <f t="shared" ref="H3:H4" si="0">D3-E3</f>
        <v>0</v>
      </c>
      <c r="I3" s="5">
        <f t="shared" ref="I3:I5" si="1">F3-G3</f>
        <v>0</v>
      </c>
      <c r="J3" s="7">
        <f t="shared" ref="J3:J5" si="2">H3*3.5</f>
        <v>0</v>
      </c>
      <c r="K3" s="7">
        <f t="shared" ref="K3:K5" si="3">I3*1</f>
        <v>0</v>
      </c>
      <c r="L3" s="7">
        <v>150</v>
      </c>
      <c r="M3" s="8">
        <f t="shared" ref="M3:M6" si="4">J3+K3+L3</f>
        <v>150</v>
      </c>
      <c r="O3" s="5" t="s">
        <v>37</v>
      </c>
    </row>
    <row r="4" spans="1:15">
      <c r="A4" s="6">
        <v>45809</v>
      </c>
      <c r="B4" s="5" t="s">
        <v>35</v>
      </c>
      <c r="C4" s="5" t="s">
        <v>36</v>
      </c>
      <c r="D4" s="5">
        <v>0</v>
      </c>
      <c r="E4" s="5">
        <v>0</v>
      </c>
      <c r="F4" s="5">
        <v>57</v>
      </c>
      <c r="G4" s="5">
        <v>1</v>
      </c>
      <c r="H4" s="5">
        <f t="shared" si="0"/>
        <v>0</v>
      </c>
      <c r="I4" s="5">
        <f t="shared" si="1"/>
        <v>56</v>
      </c>
      <c r="J4" s="7">
        <f t="shared" si="2"/>
        <v>0</v>
      </c>
      <c r="K4" s="7">
        <f t="shared" si="3"/>
        <v>56</v>
      </c>
      <c r="L4" s="7">
        <v>150</v>
      </c>
      <c r="M4" s="8">
        <f t="shared" si="4"/>
        <v>206</v>
      </c>
      <c r="O4" s="5" t="s">
        <v>111</v>
      </c>
    </row>
    <row r="5" spans="1:15">
      <c r="A5" s="6">
        <v>45839</v>
      </c>
      <c r="B5" s="5" t="s">
        <v>35</v>
      </c>
      <c r="C5" s="5" t="s">
        <v>36</v>
      </c>
      <c r="D5" s="5">
        <v>0</v>
      </c>
      <c r="E5" s="5">
        <v>0</v>
      </c>
      <c r="F5" s="5">
        <v>134</v>
      </c>
      <c r="G5" s="5">
        <v>57</v>
      </c>
      <c r="H5" s="5">
        <v>0</v>
      </c>
      <c r="I5" s="5">
        <f t="shared" si="1"/>
        <v>77</v>
      </c>
      <c r="J5" s="7">
        <f t="shared" si="2"/>
        <v>0</v>
      </c>
      <c r="K5" s="7">
        <f t="shared" si="3"/>
        <v>77</v>
      </c>
      <c r="L5" s="7">
        <v>150</v>
      </c>
      <c r="M5" s="8">
        <f t="shared" si="4"/>
        <v>227</v>
      </c>
      <c r="O5" s="5" t="s">
        <v>38</v>
      </c>
    </row>
    <row r="6" spans="1:15">
      <c r="A6" s="6">
        <v>45859</v>
      </c>
      <c r="B6" s="5" t="s">
        <v>81</v>
      </c>
      <c r="C6" s="5" t="s">
        <v>82</v>
      </c>
      <c r="D6" s="5">
        <v>0</v>
      </c>
      <c r="E6" s="5">
        <v>0</v>
      </c>
      <c r="F6" s="5">
        <v>183</v>
      </c>
      <c r="G6" s="5">
        <v>134</v>
      </c>
      <c r="H6" s="5">
        <v>0</v>
      </c>
      <c r="I6" s="5">
        <f t="shared" ref="I6" si="5">F6-G6</f>
        <v>49</v>
      </c>
      <c r="J6" s="7">
        <f t="shared" ref="J6" si="6">H6*3.5</f>
        <v>0</v>
      </c>
      <c r="K6" s="7">
        <f t="shared" ref="K6" si="7">I6*1</f>
        <v>49</v>
      </c>
      <c r="L6" s="7">
        <v>0</v>
      </c>
      <c r="M6" s="8">
        <f t="shared" si="4"/>
        <v>49</v>
      </c>
      <c r="O6" s="5" t="s">
        <v>106</v>
      </c>
    </row>
    <row r="7" spans="1:15">
      <c r="A7" s="3" t="s">
        <v>99</v>
      </c>
      <c r="B7" s="4" t="s">
        <v>105</v>
      </c>
      <c r="C7" s="4" t="s">
        <v>105</v>
      </c>
      <c r="D7" s="4" t="s">
        <v>105</v>
      </c>
      <c r="E7" s="4" t="s">
        <v>105</v>
      </c>
      <c r="F7" s="4" t="s">
        <v>105</v>
      </c>
      <c r="G7" s="4" t="s">
        <v>105</v>
      </c>
      <c r="H7" s="5">
        <f t="shared" ref="H7:M7" si="8">SUBTOTAL(9,H3:H6)</f>
        <v>0</v>
      </c>
      <c r="I7" s="5">
        <f t="shared" si="8"/>
        <v>182</v>
      </c>
      <c r="J7" s="7">
        <f t="shared" si="8"/>
        <v>0</v>
      </c>
      <c r="K7" s="7">
        <f t="shared" si="8"/>
        <v>182</v>
      </c>
      <c r="L7" s="7">
        <f t="shared" si="8"/>
        <v>450</v>
      </c>
      <c r="M7" s="10">
        <f t="shared" si="8"/>
        <v>632</v>
      </c>
    </row>
    <row r="38" spans="6:6" ht="20">
      <c r="F38" s="1"/>
    </row>
  </sheetData>
  <dataConsolidate/>
  <mergeCells count="11">
    <mergeCell ref="J1:J2"/>
    <mergeCell ref="K1:K2"/>
    <mergeCell ref="L1:L2"/>
    <mergeCell ref="M1:M2"/>
    <mergeCell ref="O1:O2"/>
    <mergeCell ref="D1:E1"/>
    <mergeCell ref="F1:G1"/>
    <mergeCell ref="H1:I1"/>
    <mergeCell ref="A1:A2"/>
    <mergeCell ref="B1:B2"/>
    <mergeCell ref="C1:C2"/>
  </mergeCells>
  <phoneticPr fontId="1" type="noConversion"/>
  <conditionalFormatting sqref="A1:XFD1048576">
    <cfRule type="cellIs" dxfId="33" priority="1" operator="equal">
      <formula>0</formula>
    </cfRule>
  </conditionalFormatting>
  <conditionalFormatting sqref="N3:N38">
    <cfRule type="cellIs" dxfId="32" priority="3" operator="notEqual">
      <formula>"完成"</formula>
    </cfRule>
    <cfRule type="cellIs" dxfId="31" priority="4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7"/>
  <sheetViews>
    <sheetView topLeftCell="B1" zoomScale="120" zoomScaleNormal="120" workbookViewId="0">
      <pane ySplit="2" topLeftCell="A3" activePane="bottomLeft" state="frozen"/>
      <selection activeCell="F38" sqref="F38"/>
      <selection pane="bottomLeft" activeCell="O14" sqref="O14"/>
    </sheetView>
  </sheetViews>
  <sheetFormatPr baseColWidth="10" defaultColWidth="10.85546875" defaultRowHeight="18"/>
  <cols>
    <col min="1" max="1" width="16.85546875" style="6" bestFit="1" customWidth="1"/>
    <col min="2" max="2" width="9.85546875" style="5" bestFit="1" customWidth="1"/>
    <col min="3" max="3" width="11.5703125" style="5" bestFit="1" customWidth="1"/>
    <col min="4" max="9" width="9.85546875" style="5" bestFit="1" customWidth="1"/>
    <col min="10" max="11" width="7.7109375" style="5" bestFit="1" customWidth="1"/>
    <col min="12" max="12" width="9.42578125" style="7" bestFit="1" customWidth="1"/>
    <col min="13" max="14" width="9.85546875" style="7" bestFit="1" customWidth="1"/>
    <col min="15" max="15" width="12.28515625" style="8" bestFit="1" customWidth="1"/>
    <col min="16" max="16" width="9.42578125" style="5" bestFit="1" customWidth="1"/>
    <col min="17" max="17" width="53.5703125" style="5" bestFit="1" customWidth="1"/>
    <col min="18" max="18" width="6.5703125" style="5" bestFit="1" customWidth="1"/>
    <col min="19" max="16384" width="10.85546875" style="5"/>
  </cols>
  <sheetData>
    <row r="1" spans="1:18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34</v>
      </c>
      <c r="G1" s="24"/>
      <c r="H1" s="24" t="s">
        <v>39</v>
      </c>
      <c r="I1" s="24"/>
      <c r="J1" s="24" t="s">
        <v>21</v>
      </c>
      <c r="K1" s="24"/>
      <c r="L1" s="25" t="s">
        <v>22</v>
      </c>
      <c r="M1" s="25" t="s">
        <v>23</v>
      </c>
      <c r="N1" s="25" t="s">
        <v>24</v>
      </c>
      <c r="O1" s="26" t="s">
        <v>25</v>
      </c>
      <c r="P1" s="4" t="s">
        <v>26</v>
      </c>
      <c r="Q1" s="24" t="s">
        <v>27</v>
      </c>
      <c r="R1" s="24"/>
    </row>
    <row r="2" spans="1:18">
      <c r="A2" s="27"/>
      <c r="B2" s="24"/>
      <c r="C2" s="24"/>
      <c r="D2" s="4" t="s">
        <v>109</v>
      </c>
      <c r="E2" s="4" t="s">
        <v>110</v>
      </c>
      <c r="F2" s="4" t="s">
        <v>109</v>
      </c>
      <c r="G2" s="4" t="s">
        <v>110</v>
      </c>
      <c r="H2" s="4" t="s">
        <v>109</v>
      </c>
      <c r="I2" s="4" t="s">
        <v>110</v>
      </c>
      <c r="J2" s="4" t="s">
        <v>112</v>
      </c>
      <c r="K2" s="4" t="s">
        <v>113</v>
      </c>
      <c r="L2" s="25"/>
      <c r="M2" s="25"/>
      <c r="N2" s="25"/>
      <c r="O2" s="26"/>
      <c r="P2" s="4">
        <v>0</v>
      </c>
      <c r="Q2" s="24"/>
      <c r="R2" s="24"/>
    </row>
    <row r="3" spans="1:18">
      <c r="A3" s="6">
        <v>44933</v>
      </c>
      <c r="B3" s="5" t="s">
        <v>40</v>
      </c>
      <c r="C3" s="5" t="s">
        <v>41</v>
      </c>
      <c r="D3" s="5">
        <v>90</v>
      </c>
      <c r="E3" s="5">
        <v>0</v>
      </c>
      <c r="F3" s="5">
        <v>1663</v>
      </c>
      <c r="G3" s="5">
        <v>1223</v>
      </c>
      <c r="H3" s="5">
        <v>4883</v>
      </c>
      <c r="I3" s="5">
        <v>4203</v>
      </c>
      <c r="J3" s="5">
        <f t="shared" ref="J3:J6" si="0">D3-E3</f>
        <v>90</v>
      </c>
      <c r="K3" s="5">
        <f t="shared" ref="K3:K6" si="1">(F3-G3)+(H3-I3)</f>
        <v>1120</v>
      </c>
      <c r="L3" s="7">
        <f t="shared" ref="L3:L6" si="2">J3*3.5</f>
        <v>315</v>
      </c>
      <c r="M3" s="7">
        <f>K3*0.9</f>
        <v>1008</v>
      </c>
      <c r="N3" s="7">
        <v>200</v>
      </c>
      <c r="O3" s="8">
        <f t="shared" ref="O3:O6" si="3">L3+M3+N3</f>
        <v>1523</v>
      </c>
      <c r="Q3" s="5" t="s">
        <v>159</v>
      </c>
    </row>
    <row r="4" spans="1:18">
      <c r="A4" s="6">
        <v>44974</v>
      </c>
      <c r="B4" s="5" t="s">
        <v>40</v>
      </c>
      <c r="C4" s="5" t="s">
        <v>41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f t="shared" si="0"/>
        <v>0</v>
      </c>
      <c r="K4" s="5">
        <f t="shared" si="1"/>
        <v>0</v>
      </c>
      <c r="L4" s="7">
        <f t="shared" si="2"/>
        <v>0</v>
      </c>
      <c r="M4" s="7">
        <f t="shared" ref="M4:M6" si="4">K4*0.9</f>
        <v>0</v>
      </c>
      <c r="N4" s="7">
        <v>600</v>
      </c>
      <c r="O4" s="8">
        <f t="shared" si="3"/>
        <v>600</v>
      </c>
      <c r="Q4" s="5" t="s">
        <v>160</v>
      </c>
    </row>
    <row r="5" spans="1:18">
      <c r="A5" s="6">
        <v>45063</v>
      </c>
      <c r="B5" s="5" t="s">
        <v>40</v>
      </c>
      <c r="C5" s="5" t="s">
        <v>41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f t="shared" si="0"/>
        <v>0</v>
      </c>
      <c r="K5" s="5">
        <f t="shared" si="1"/>
        <v>0</v>
      </c>
      <c r="L5" s="7">
        <f t="shared" si="2"/>
        <v>0</v>
      </c>
      <c r="M5" s="7">
        <f t="shared" si="4"/>
        <v>0</v>
      </c>
      <c r="N5" s="7">
        <v>600</v>
      </c>
      <c r="O5" s="8">
        <f t="shared" si="3"/>
        <v>600</v>
      </c>
      <c r="Q5" s="5" t="s">
        <v>161</v>
      </c>
    </row>
    <row r="6" spans="1:18">
      <c r="A6" s="6">
        <v>45155</v>
      </c>
      <c r="B6" s="5" t="s">
        <v>40</v>
      </c>
      <c r="C6" s="5" t="s">
        <v>41</v>
      </c>
      <c r="D6" s="5">
        <v>0</v>
      </c>
      <c r="E6" s="5">
        <v>0</v>
      </c>
      <c r="F6" s="5">
        <v>1988</v>
      </c>
      <c r="G6" s="5">
        <v>1663</v>
      </c>
      <c r="H6" s="5">
        <v>5780</v>
      </c>
      <c r="I6" s="5">
        <v>4883</v>
      </c>
      <c r="J6" s="5">
        <f t="shared" si="0"/>
        <v>0</v>
      </c>
      <c r="K6" s="5">
        <f t="shared" si="1"/>
        <v>1222</v>
      </c>
      <c r="L6" s="7">
        <f t="shared" si="2"/>
        <v>0</v>
      </c>
      <c r="M6" s="7">
        <f t="shared" si="4"/>
        <v>1099.8</v>
      </c>
      <c r="N6" s="7">
        <v>800</v>
      </c>
      <c r="O6" s="8">
        <f t="shared" si="3"/>
        <v>1899.8</v>
      </c>
      <c r="Q6" s="5" t="s">
        <v>162</v>
      </c>
    </row>
    <row r="7" spans="1:18">
      <c r="A7" s="6">
        <v>45277</v>
      </c>
      <c r="B7" s="5" t="s">
        <v>40</v>
      </c>
      <c r="C7" s="5" t="s">
        <v>41</v>
      </c>
      <c r="D7" s="5">
        <v>120</v>
      </c>
      <c r="E7" s="5">
        <v>90</v>
      </c>
      <c r="F7" s="5">
        <v>2353</v>
      </c>
      <c r="G7" s="5">
        <v>1988</v>
      </c>
      <c r="H7" s="5">
        <v>6051</v>
      </c>
      <c r="I7" s="5">
        <v>5780</v>
      </c>
      <c r="J7" s="5">
        <f t="shared" ref="J7:J14" si="5">D7-E7</f>
        <v>30</v>
      </c>
      <c r="K7" s="5">
        <f t="shared" ref="K7:K14" si="6">(F7-G7)+(H7-I7)</f>
        <v>636</v>
      </c>
      <c r="L7" s="7">
        <f t="shared" ref="L7:L14" si="7">J7*3.5</f>
        <v>105</v>
      </c>
      <c r="M7" s="7">
        <f t="shared" ref="M7:M14" si="8">K7*1</f>
        <v>636</v>
      </c>
      <c r="N7" s="7">
        <v>400</v>
      </c>
      <c r="O7" s="8">
        <f t="shared" ref="O7:O14" si="9">L7+M7+N7</f>
        <v>1141</v>
      </c>
      <c r="Q7" s="5" t="s">
        <v>30</v>
      </c>
      <c r="R7" s="5" t="s">
        <v>31</v>
      </c>
    </row>
    <row r="8" spans="1:18">
      <c r="A8" s="6">
        <v>45400</v>
      </c>
      <c r="B8" s="9" t="s">
        <v>40</v>
      </c>
      <c r="C8" s="5" t="s">
        <v>41</v>
      </c>
      <c r="D8" s="5">
        <v>126</v>
      </c>
      <c r="E8" s="5">
        <v>120</v>
      </c>
      <c r="F8" s="5">
        <v>2500</v>
      </c>
      <c r="G8" s="5">
        <v>2353</v>
      </c>
      <c r="H8" s="5">
        <v>6223</v>
      </c>
      <c r="I8" s="5">
        <v>6051</v>
      </c>
      <c r="J8" s="5">
        <f t="shared" si="5"/>
        <v>6</v>
      </c>
      <c r="K8" s="5">
        <f t="shared" si="6"/>
        <v>319</v>
      </c>
      <c r="L8" s="7">
        <f t="shared" si="7"/>
        <v>21</v>
      </c>
      <c r="M8" s="7">
        <f t="shared" si="8"/>
        <v>319</v>
      </c>
      <c r="N8" s="7">
        <v>400</v>
      </c>
      <c r="O8" s="8">
        <f t="shared" si="9"/>
        <v>740</v>
      </c>
      <c r="Q8" s="5" t="s">
        <v>163</v>
      </c>
      <c r="R8" s="5" t="s">
        <v>31</v>
      </c>
    </row>
    <row r="9" spans="1:18">
      <c r="A9" s="6">
        <v>45522</v>
      </c>
      <c r="B9" s="5" t="s">
        <v>40</v>
      </c>
      <c r="C9" s="5" t="s">
        <v>41</v>
      </c>
      <c r="D9" s="5">
        <v>131</v>
      </c>
      <c r="E9" s="5">
        <v>126</v>
      </c>
      <c r="F9" s="5">
        <v>2638</v>
      </c>
      <c r="G9" s="5">
        <v>2500</v>
      </c>
      <c r="H9" s="5">
        <v>7057</v>
      </c>
      <c r="I9" s="5">
        <v>6223</v>
      </c>
      <c r="J9" s="5">
        <f t="shared" si="5"/>
        <v>5</v>
      </c>
      <c r="K9" s="5">
        <f t="shared" si="6"/>
        <v>972</v>
      </c>
      <c r="L9" s="7">
        <f t="shared" si="7"/>
        <v>17.5</v>
      </c>
      <c r="M9" s="7">
        <f t="shared" si="8"/>
        <v>972</v>
      </c>
      <c r="N9" s="7">
        <v>400</v>
      </c>
      <c r="O9" s="8">
        <f t="shared" si="9"/>
        <v>1389.5</v>
      </c>
      <c r="Q9" s="5" t="s">
        <v>164</v>
      </c>
      <c r="R9" s="5" t="s">
        <v>31</v>
      </c>
    </row>
    <row r="10" spans="1:18">
      <c r="A10" s="6">
        <v>45684</v>
      </c>
      <c r="B10" s="5" t="s">
        <v>40</v>
      </c>
      <c r="C10" s="5" t="s">
        <v>41</v>
      </c>
      <c r="D10" s="5">
        <v>136</v>
      </c>
      <c r="E10" s="5">
        <v>131</v>
      </c>
      <c r="F10" s="5">
        <v>2887</v>
      </c>
      <c r="G10" s="5">
        <v>2638</v>
      </c>
      <c r="H10" s="5">
        <v>7188</v>
      </c>
      <c r="I10" s="5">
        <v>7057</v>
      </c>
      <c r="J10" s="5">
        <f t="shared" si="5"/>
        <v>5</v>
      </c>
      <c r="K10" s="5">
        <f t="shared" si="6"/>
        <v>380</v>
      </c>
      <c r="L10" s="7">
        <f t="shared" si="7"/>
        <v>17.5</v>
      </c>
      <c r="M10" s="7">
        <f t="shared" si="8"/>
        <v>380</v>
      </c>
      <c r="N10" s="7">
        <v>400</v>
      </c>
      <c r="O10" s="8">
        <f t="shared" si="9"/>
        <v>797.5</v>
      </c>
      <c r="Q10" s="5" t="s">
        <v>32</v>
      </c>
      <c r="R10" s="5" t="s">
        <v>31</v>
      </c>
    </row>
    <row r="11" spans="1:18">
      <c r="A11" s="6">
        <v>45725</v>
      </c>
      <c r="B11" s="5" t="s">
        <v>40</v>
      </c>
      <c r="C11" s="5" t="s">
        <v>41</v>
      </c>
      <c r="D11" s="5">
        <v>0</v>
      </c>
      <c r="E11" s="5">
        <v>0</v>
      </c>
      <c r="F11" s="5">
        <v>3013</v>
      </c>
      <c r="G11" s="5">
        <v>2887</v>
      </c>
      <c r="H11" s="5">
        <v>7215</v>
      </c>
      <c r="I11" s="5">
        <v>7188</v>
      </c>
      <c r="J11" s="5">
        <f t="shared" si="5"/>
        <v>0</v>
      </c>
      <c r="K11" s="5">
        <f t="shared" si="6"/>
        <v>153</v>
      </c>
      <c r="L11" s="7">
        <f t="shared" si="7"/>
        <v>0</v>
      </c>
      <c r="M11" s="7">
        <f t="shared" si="8"/>
        <v>153</v>
      </c>
      <c r="N11" s="7">
        <v>0</v>
      </c>
      <c r="O11" s="8">
        <f t="shared" si="9"/>
        <v>153</v>
      </c>
      <c r="Q11" s="5" t="s">
        <v>42</v>
      </c>
    </row>
    <row r="12" spans="1:18">
      <c r="A12" s="6">
        <v>45765</v>
      </c>
      <c r="B12" s="5" t="s">
        <v>40</v>
      </c>
      <c r="C12" s="5" t="s">
        <v>41</v>
      </c>
      <c r="D12" s="5">
        <v>144</v>
      </c>
      <c r="E12" s="5">
        <v>136</v>
      </c>
      <c r="F12" s="5">
        <v>161</v>
      </c>
      <c r="G12" s="5">
        <v>0</v>
      </c>
      <c r="H12" s="5">
        <v>67</v>
      </c>
      <c r="I12" s="5">
        <v>0</v>
      </c>
      <c r="J12" s="5">
        <f t="shared" si="5"/>
        <v>8</v>
      </c>
      <c r="K12" s="5">
        <f t="shared" si="6"/>
        <v>228</v>
      </c>
      <c r="L12" s="7">
        <f t="shared" si="7"/>
        <v>28</v>
      </c>
      <c r="M12" s="7">
        <f t="shared" si="8"/>
        <v>228</v>
      </c>
      <c r="N12" s="7">
        <v>400</v>
      </c>
      <c r="O12" s="8">
        <f t="shared" si="9"/>
        <v>656</v>
      </c>
      <c r="Q12" s="5" t="s">
        <v>33</v>
      </c>
      <c r="R12" s="5" t="s">
        <v>31</v>
      </c>
    </row>
    <row r="13" spans="1:18">
      <c r="A13" s="6">
        <v>45887</v>
      </c>
      <c r="B13" s="5" t="s">
        <v>271</v>
      </c>
      <c r="C13" s="5" t="s">
        <v>272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f t="shared" si="5"/>
        <v>0</v>
      </c>
      <c r="K13" s="5">
        <f t="shared" si="6"/>
        <v>0</v>
      </c>
      <c r="L13" s="7">
        <f t="shared" si="7"/>
        <v>0</v>
      </c>
      <c r="M13" s="7">
        <f t="shared" si="8"/>
        <v>0</v>
      </c>
      <c r="N13" s="7">
        <v>400</v>
      </c>
      <c r="O13" s="8">
        <f t="shared" si="9"/>
        <v>400</v>
      </c>
      <c r="Q13" s="5" t="s">
        <v>269</v>
      </c>
      <c r="R13" s="5" t="s">
        <v>270</v>
      </c>
    </row>
    <row r="14" spans="1:18">
      <c r="A14" s="6">
        <v>46009</v>
      </c>
      <c r="B14" s="5" t="s">
        <v>95</v>
      </c>
      <c r="C14" s="5" t="s">
        <v>272</v>
      </c>
      <c r="D14" s="5">
        <v>164</v>
      </c>
      <c r="E14" s="5">
        <v>144</v>
      </c>
      <c r="F14" s="5">
        <v>1878</v>
      </c>
      <c r="G14" s="5">
        <v>161</v>
      </c>
      <c r="H14" s="5">
        <v>392</v>
      </c>
      <c r="I14" s="5">
        <v>67</v>
      </c>
      <c r="J14" s="5">
        <f t="shared" si="5"/>
        <v>20</v>
      </c>
      <c r="K14" s="5">
        <f t="shared" si="6"/>
        <v>2042</v>
      </c>
      <c r="L14" s="7">
        <f t="shared" si="7"/>
        <v>70</v>
      </c>
      <c r="M14" s="7">
        <f t="shared" si="8"/>
        <v>2042</v>
      </c>
      <c r="N14" s="7">
        <v>400</v>
      </c>
      <c r="O14" s="8">
        <f t="shared" si="9"/>
        <v>2512</v>
      </c>
      <c r="Q14" s="5" t="s">
        <v>290</v>
      </c>
      <c r="R14" s="5" t="s">
        <v>270</v>
      </c>
    </row>
    <row r="15" spans="1:18">
      <c r="A15" s="3" t="s">
        <v>103</v>
      </c>
      <c r="B15" s="4" t="s">
        <v>105</v>
      </c>
      <c r="C15" s="4" t="s">
        <v>105</v>
      </c>
      <c r="D15" s="4" t="s">
        <v>105</v>
      </c>
      <c r="E15" s="4" t="s">
        <v>105</v>
      </c>
      <c r="F15" s="4" t="s">
        <v>105</v>
      </c>
      <c r="G15" s="4" t="s">
        <v>105</v>
      </c>
      <c r="H15" s="4" t="s">
        <v>105</v>
      </c>
      <c r="I15" s="4" t="s">
        <v>105</v>
      </c>
      <c r="J15" s="5">
        <f t="shared" ref="J15:O15" si="10">SUBTOTAL(9,J3:J14)</f>
        <v>164</v>
      </c>
      <c r="K15" s="5">
        <f t="shared" si="10"/>
        <v>7072</v>
      </c>
      <c r="L15" s="7">
        <f t="shared" si="10"/>
        <v>574</v>
      </c>
      <c r="M15" s="7">
        <f t="shared" si="10"/>
        <v>6837.8</v>
      </c>
      <c r="N15" s="7">
        <f t="shared" si="10"/>
        <v>5000</v>
      </c>
      <c r="O15" s="10">
        <f t="shared" si="10"/>
        <v>12411.8</v>
      </c>
    </row>
    <row r="37" spans="6:6" ht="20">
      <c r="F37" s="1"/>
    </row>
  </sheetData>
  <mergeCells count="12">
    <mergeCell ref="L1:L2"/>
    <mergeCell ref="M1:M2"/>
    <mergeCell ref="N1:N2"/>
    <mergeCell ref="O1:O2"/>
    <mergeCell ref="Q1:R2"/>
    <mergeCell ref="D1:E1"/>
    <mergeCell ref="F1:G1"/>
    <mergeCell ref="H1:I1"/>
    <mergeCell ref="J1:K1"/>
    <mergeCell ref="A1:A2"/>
    <mergeCell ref="B1:B2"/>
    <mergeCell ref="C1:C2"/>
  </mergeCells>
  <phoneticPr fontId="1" type="noConversion"/>
  <conditionalFormatting sqref="A1:XFD1048576">
    <cfRule type="cellIs" dxfId="30" priority="1" operator="equal">
      <formula>0</formula>
    </cfRule>
  </conditionalFormatting>
  <conditionalFormatting sqref="P3:P47">
    <cfRule type="cellIs" priority="2" operator="notEqual">
      <formula>"完成"</formula>
    </cfRule>
    <cfRule type="cellIs" dxfId="29" priority="3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O39"/>
  <sheetViews>
    <sheetView zoomScale="120" zoomScaleNormal="120" workbookViewId="0">
      <pane ySplit="2" topLeftCell="A3" activePane="bottomLeft" state="frozen"/>
      <selection activeCell="F38" sqref="F38"/>
      <selection pane="bottomLeft" activeCell="N18" sqref="N18"/>
    </sheetView>
  </sheetViews>
  <sheetFormatPr baseColWidth="10" defaultColWidth="10.85546875" defaultRowHeight="18"/>
  <cols>
    <col min="1" max="1" width="16.85546875" style="6" bestFit="1" customWidth="1"/>
    <col min="2" max="2" width="9.8554687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1" width="9.42578125" style="7" bestFit="1" customWidth="1"/>
    <col min="12" max="12" width="9.85546875" style="7" bestFit="1" customWidth="1"/>
    <col min="13" max="13" width="12.28515625" style="8" bestFit="1" customWidth="1"/>
    <col min="14" max="14" width="9.42578125" style="5" bestFit="1" customWidth="1"/>
    <col min="15" max="15" width="31.7109375" style="5" bestFit="1" customWidth="1"/>
    <col min="16" max="16384" width="10.85546875" style="5"/>
  </cols>
  <sheetData>
    <row r="1" spans="1:15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  <c r="O1" s="24" t="s">
        <v>27</v>
      </c>
    </row>
    <row r="2" spans="1:15">
      <c r="A2" s="27"/>
      <c r="B2" s="24"/>
      <c r="C2" s="24"/>
      <c r="D2" s="4" t="s">
        <v>109</v>
      </c>
      <c r="E2" s="4" t="s">
        <v>110</v>
      </c>
      <c r="F2" s="4" t="s">
        <v>109</v>
      </c>
      <c r="G2" s="4" t="s">
        <v>110</v>
      </c>
      <c r="H2" s="4" t="s">
        <v>112</v>
      </c>
      <c r="I2" s="4" t="s">
        <v>113</v>
      </c>
      <c r="J2" s="25"/>
      <c r="K2" s="25"/>
      <c r="L2" s="25"/>
      <c r="M2" s="26"/>
      <c r="N2" s="4">
        <v>0</v>
      </c>
      <c r="O2" s="24"/>
    </row>
    <row r="3" spans="1:15">
      <c r="A3" s="6">
        <v>45021</v>
      </c>
      <c r="B3" s="5" t="s">
        <v>1</v>
      </c>
      <c r="C3" s="5" t="s">
        <v>43</v>
      </c>
      <c r="D3" s="5">
        <v>0</v>
      </c>
      <c r="E3" s="5">
        <v>0</v>
      </c>
      <c r="F3" s="5">
        <v>0</v>
      </c>
      <c r="G3" s="5">
        <v>0</v>
      </c>
      <c r="H3" s="5">
        <f>D3-E3</f>
        <v>0</v>
      </c>
      <c r="I3" s="5">
        <f t="shared" ref="I3:I17" si="0">F3-G3</f>
        <v>0</v>
      </c>
      <c r="J3" s="7">
        <f t="shared" ref="J3:J17" si="1">3.5*H3</f>
        <v>0</v>
      </c>
      <c r="K3" s="7">
        <f t="shared" ref="K3:K8" si="2">I3*0.9</f>
        <v>0</v>
      </c>
      <c r="L3" s="7">
        <v>200</v>
      </c>
      <c r="M3" s="8">
        <f t="shared" ref="M3:M17" si="3">J3+K3+L3</f>
        <v>200</v>
      </c>
      <c r="O3" s="5" t="s">
        <v>225</v>
      </c>
    </row>
    <row r="4" spans="1:15">
      <c r="A4" s="6">
        <v>45082</v>
      </c>
      <c r="B4" s="5" t="s">
        <v>1</v>
      </c>
      <c r="C4" s="5" t="s">
        <v>43</v>
      </c>
      <c r="D4" s="5">
        <v>0</v>
      </c>
      <c r="E4" s="5">
        <v>0</v>
      </c>
      <c r="F4" s="5">
        <v>0</v>
      </c>
      <c r="G4" s="5">
        <v>0</v>
      </c>
      <c r="H4" s="5">
        <f t="shared" ref="H4:H17" si="4">D4-E4</f>
        <v>0</v>
      </c>
      <c r="I4" s="5">
        <f t="shared" si="0"/>
        <v>0</v>
      </c>
      <c r="J4" s="7">
        <f t="shared" si="1"/>
        <v>0</v>
      </c>
      <c r="K4" s="7">
        <f t="shared" si="2"/>
        <v>0</v>
      </c>
      <c r="L4" s="7">
        <v>200</v>
      </c>
      <c r="M4" s="8">
        <f t="shared" si="3"/>
        <v>200</v>
      </c>
      <c r="O4" s="5" t="s">
        <v>222</v>
      </c>
    </row>
    <row r="5" spans="1:15">
      <c r="A5" s="6">
        <v>45143</v>
      </c>
      <c r="B5" s="5" t="s">
        <v>1</v>
      </c>
      <c r="C5" s="5" t="s">
        <v>43</v>
      </c>
      <c r="D5" s="5">
        <v>0</v>
      </c>
      <c r="E5" s="5">
        <v>0</v>
      </c>
      <c r="F5" s="5">
        <v>0</v>
      </c>
      <c r="G5" s="5">
        <v>0</v>
      </c>
      <c r="H5" s="5">
        <f t="shared" si="4"/>
        <v>0</v>
      </c>
      <c r="I5" s="5">
        <f t="shared" si="0"/>
        <v>0</v>
      </c>
      <c r="J5" s="7">
        <f t="shared" si="1"/>
        <v>0</v>
      </c>
      <c r="K5" s="7">
        <f t="shared" si="2"/>
        <v>0</v>
      </c>
      <c r="L5" s="7">
        <v>200</v>
      </c>
      <c r="M5" s="8">
        <f t="shared" si="3"/>
        <v>200</v>
      </c>
      <c r="O5" s="5" t="s">
        <v>223</v>
      </c>
    </row>
    <row r="6" spans="1:15">
      <c r="A6" s="6">
        <v>45204</v>
      </c>
      <c r="B6" s="5" t="s">
        <v>1</v>
      </c>
      <c r="C6" s="5" t="s">
        <v>43</v>
      </c>
      <c r="D6" s="5">
        <v>0</v>
      </c>
      <c r="E6" s="5">
        <v>0</v>
      </c>
      <c r="F6" s="5">
        <v>6153</v>
      </c>
      <c r="G6" s="5">
        <v>6058</v>
      </c>
      <c r="H6" s="5">
        <f t="shared" si="4"/>
        <v>0</v>
      </c>
      <c r="I6" s="5">
        <f t="shared" si="0"/>
        <v>95</v>
      </c>
      <c r="J6" s="7">
        <f t="shared" si="1"/>
        <v>0</v>
      </c>
      <c r="K6" s="7">
        <f t="shared" si="2"/>
        <v>85.5</v>
      </c>
      <c r="L6" s="7">
        <v>200</v>
      </c>
      <c r="M6" s="8">
        <f t="shared" si="3"/>
        <v>285.5</v>
      </c>
      <c r="O6" s="5" t="s">
        <v>224</v>
      </c>
    </row>
    <row r="7" spans="1:15">
      <c r="A7" s="6">
        <v>45265</v>
      </c>
      <c r="B7" s="5" t="s">
        <v>1</v>
      </c>
      <c r="C7" s="5" t="s">
        <v>43</v>
      </c>
      <c r="D7" s="5">
        <v>0</v>
      </c>
      <c r="E7" s="5">
        <v>0</v>
      </c>
      <c r="F7" s="5">
        <v>0</v>
      </c>
      <c r="G7" s="5">
        <v>0</v>
      </c>
      <c r="H7" s="5">
        <f t="shared" si="4"/>
        <v>0</v>
      </c>
      <c r="I7" s="5">
        <f t="shared" si="0"/>
        <v>0</v>
      </c>
      <c r="J7" s="7">
        <f t="shared" si="1"/>
        <v>0</v>
      </c>
      <c r="K7" s="7">
        <f t="shared" si="2"/>
        <v>0</v>
      </c>
      <c r="L7" s="7">
        <v>200</v>
      </c>
      <c r="M7" s="8">
        <f t="shared" si="3"/>
        <v>200</v>
      </c>
      <c r="O7" s="5" t="s">
        <v>226</v>
      </c>
    </row>
    <row r="8" spans="1:15">
      <c r="A8" s="6">
        <v>45327</v>
      </c>
      <c r="B8" s="5" t="s">
        <v>1</v>
      </c>
      <c r="C8" s="5" t="s">
        <v>43</v>
      </c>
      <c r="D8" s="5">
        <v>0</v>
      </c>
      <c r="E8" s="5">
        <v>0</v>
      </c>
      <c r="F8" s="5">
        <v>0</v>
      </c>
      <c r="G8" s="5">
        <v>0</v>
      </c>
      <c r="H8" s="5">
        <f t="shared" ref="H8:H12" si="5">D8-E8</f>
        <v>0</v>
      </c>
      <c r="I8" s="5">
        <f t="shared" ref="I8:I12" si="6">F8-G8</f>
        <v>0</v>
      </c>
      <c r="J8" s="7">
        <f t="shared" ref="J8:J12" si="7">3.5*H8</f>
        <v>0</v>
      </c>
      <c r="K8" s="7">
        <f t="shared" si="2"/>
        <v>0</v>
      </c>
      <c r="L8" s="7">
        <v>100</v>
      </c>
      <c r="M8" s="8">
        <f t="shared" ref="M8:M12" si="8">J8+K8+L8</f>
        <v>100</v>
      </c>
    </row>
    <row r="9" spans="1:15">
      <c r="A9" s="6">
        <v>45356</v>
      </c>
      <c r="B9" s="5" t="s">
        <v>1</v>
      </c>
      <c r="C9" s="5" t="s">
        <v>43</v>
      </c>
      <c r="D9" s="5">
        <v>0</v>
      </c>
      <c r="E9" s="5">
        <v>0</v>
      </c>
      <c r="F9" s="5">
        <v>0</v>
      </c>
      <c r="G9" s="5">
        <v>0</v>
      </c>
      <c r="H9" s="5">
        <f t="shared" si="5"/>
        <v>0</v>
      </c>
      <c r="I9" s="5">
        <f t="shared" si="6"/>
        <v>0</v>
      </c>
      <c r="J9" s="7">
        <f t="shared" si="7"/>
        <v>0</v>
      </c>
      <c r="K9" s="7">
        <f>I9*0.9</f>
        <v>0</v>
      </c>
      <c r="L9" s="7">
        <v>200</v>
      </c>
      <c r="M9" s="8">
        <f t="shared" si="8"/>
        <v>200</v>
      </c>
      <c r="O9" s="5" t="s">
        <v>227</v>
      </c>
    </row>
    <row r="10" spans="1:15">
      <c r="A10" s="6">
        <v>45417</v>
      </c>
      <c r="B10" s="5" t="s">
        <v>1</v>
      </c>
      <c r="C10" s="5" t="s">
        <v>43</v>
      </c>
      <c r="D10" s="5">
        <v>0</v>
      </c>
      <c r="E10" s="5">
        <v>0</v>
      </c>
      <c r="F10" s="5">
        <v>6212</v>
      </c>
      <c r="G10" s="5">
        <v>6153</v>
      </c>
      <c r="H10" s="5">
        <f t="shared" si="5"/>
        <v>0</v>
      </c>
      <c r="I10" s="5">
        <f t="shared" si="6"/>
        <v>59</v>
      </c>
      <c r="J10" s="7">
        <f t="shared" si="7"/>
        <v>0</v>
      </c>
      <c r="K10" s="7">
        <f t="shared" ref="K10:K12" si="9">I10*1</f>
        <v>59</v>
      </c>
      <c r="L10" s="7">
        <v>200</v>
      </c>
      <c r="M10" s="8">
        <f t="shared" si="8"/>
        <v>259</v>
      </c>
      <c r="O10" s="5" t="s">
        <v>228</v>
      </c>
    </row>
    <row r="11" spans="1:15">
      <c r="A11" s="6">
        <v>45478</v>
      </c>
      <c r="B11" s="5" t="s">
        <v>1</v>
      </c>
      <c r="C11" s="5" t="s">
        <v>43</v>
      </c>
      <c r="D11" s="5">
        <v>0</v>
      </c>
      <c r="E11" s="5">
        <v>0</v>
      </c>
      <c r="F11" s="5">
        <v>0</v>
      </c>
      <c r="G11" s="5">
        <v>0</v>
      </c>
      <c r="H11" s="5">
        <f t="shared" si="5"/>
        <v>0</v>
      </c>
      <c r="I11" s="5">
        <f t="shared" si="6"/>
        <v>0</v>
      </c>
      <c r="J11" s="7">
        <f t="shared" si="7"/>
        <v>0</v>
      </c>
      <c r="K11" s="7">
        <f t="shared" si="9"/>
        <v>0</v>
      </c>
      <c r="L11" s="7">
        <v>200</v>
      </c>
      <c r="M11" s="8">
        <f t="shared" si="8"/>
        <v>200</v>
      </c>
      <c r="O11" s="5" t="s">
        <v>229</v>
      </c>
    </row>
    <row r="12" spans="1:15">
      <c r="A12" s="6">
        <v>45540</v>
      </c>
      <c r="B12" s="5" t="s">
        <v>1</v>
      </c>
      <c r="C12" s="5" t="s">
        <v>43</v>
      </c>
      <c r="D12" s="5">
        <v>0</v>
      </c>
      <c r="E12" s="5">
        <v>0</v>
      </c>
      <c r="F12" s="5">
        <v>0</v>
      </c>
      <c r="G12" s="5">
        <v>0</v>
      </c>
      <c r="H12" s="5">
        <f t="shared" si="5"/>
        <v>0</v>
      </c>
      <c r="I12" s="5">
        <f t="shared" si="6"/>
        <v>0</v>
      </c>
      <c r="J12" s="7">
        <f t="shared" si="7"/>
        <v>0</v>
      </c>
      <c r="K12" s="7">
        <f t="shared" si="9"/>
        <v>0</v>
      </c>
      <c r="L12" s="7">
        <v>200</v>
      </c>
      <c r="M12" s="8">
        <f t="shared" si="8"/>
        <v>200</v>
      </c>
      <c r="O12" s="5" t="s">
        <v>230</v>
      </c>
    </row>
    <row r="13" spans="1:15">
      <c r="A13" s="6">
        <v>45657</v>
      </c>
      <c r="B13" s="5" t="s">
        <v>1</v>
      </c>
      <c r="C13" s="5" t="s">
        <v>43</v>
      </c>
      <c r="D13" s="5">
        <v>0</v>
      </c>
      <c r="E13" s="5">
        <v>0</v>
      </c>
      <c r="F13" s="5">
        <v>6224</v>
      </c>
      <c r="G13" s="5">
        <v>6212</v>
      </c>
      <c r="H13" s="5">
        <f t="shared" si="4"/>
        <v>0</v>
      </c>
      <c r="I13" s="5">
        <f t="shared" si="0"/>
        <v>12</v>
      </c>
      <c r="J13" s="7">
        <f t="shared" si="1"/>
        <v>0</v>
      </c>
      <c r="K13" s="7">
        <f t="shared" ref="K13:K17" si="10">I13*1</f>
        <v>12</v>
      </c>
      <c r="L13" s="7">
        <v>0</v>
      </c>
      <c r="M13" s="8">
        <f t="shared" si="3"/>
        <v>12</v>
      </c>
      <c r="O13" s="5" t="s">
        <v>44</v>
      </c>
    </row>
    <row r="14" spans="1:15">
      <c r="A14" s="6">
        <v>45658</v>
      </c>
      <c r="B14" s="5" t="s">
        <v>1</v>
      </c>
      <c r="C14" s="5" t="s">
        <v>43</v>
      </c>
      <c r="D14" s="5">
        <v>0</v>
      </c>
      <c r="E14" s="5">
        <v>0</v>
      </c>
      <c r="F14" s="5">
        <v>0</v>
      </c>
      <c r="G14" s="5">
        <v>0</v>
      </c>
      <c r="H14" s="5">
        <f t="shared" si="4"/>
        <v>0</v>
      </c>
      <c r="I14" s="5">
        <f t="shared" si="0"/>
        <v>0</v>
      </c>
      <c r="J14" s="7">
        <f t="shared" si="1"/>
        <v>0</v>
      </c>
      <c r="K14" s="7">
        <f t="shared" si="10"/>
        <v>0</v>
      </c>
      <c r="L14" s="7">
        <v>100</v>
      </c>
      <c r="M14" s="8">
        <f t="shared" si="3"/>
        <v>100</v>
      </c>
    </row>
    <row r="15" spans="1:15">
      <c r="A15" s="6">
        <v>45689</v>
      </c>
      <c r="B15" s="5" t="s">
        <v>1</v>
      </c>
      <c r="C15" s="5" t="s">
        <v>43</v>
      </c>
      <c r="D15" s="5">
        <v>0</v>
      </c>
      <c r="E15" s="5">
        <v>0</v>
      </c>
      <c r="F15" s="5">
        <v>0</v>
      </c>
      <c r="G15" s="5">
        <v>0</v>
      </c>
      <c r="H15" s="5">
        <f t="shared" si="4"/>
        <v>0</v>
      </c>
      <c r="I15" s="5">
        <f t="shared" si="0"/>
        <v>0</v>
      </c>
      <c r="J15" s="7">
        <f t="shared" si="1"/>
        <v>0</v>
      </c>
      <c r="K15" s="7">
        <f t="shared" si="10"/>
        <v>0</v>
      </c>
      <c r="L15" s="7">
        <v>100</v>
      </c>
      <c r="M15" s="8">
        <f t="shared" si="3"/>
        <v>100</v>
      </c>
    </row>
    <row r="16" spans="1:15">
      <c r="A16" s="6">
        <v>45717</v>
      </c>
      <c r="B16" s="5" t="s">
        <v>1</v>
      </c>
      <c r="C16" s="5" t="s">
        <v>43</v>
      </c>
      <c r="D16" s="5">
        <v>0</v>
      </c>
      <c r="E16" s="5">
        <v>0</v>
      </c>
      <c r="F16" s="5">
        <v>6224</v>
      </c>
      <c r="G16" s="5">
        <v>6224</v>
      </c>
      <c r="H16" s="5">
        <f t="shared" si="4"/>
        <v>0</v>
      </c>
      <c r="I16" s="5">
        <f t="shared" si="0"/>
        <v>0</v>
      </c>
      <c r="J16" s="7">
        <f t="shared" si="1"/>
        <v>0</v>
      </c>
      <c r="K16" s="7">
        <f t="shared" si="10"/>
        <v>0</v>
      </c>
      <c r="L16" s="7">
        <v>150</v>
      </c>
      <c r="M16" s="8">
        <f t="shared" si="3"/>
        <v>150</v>
      </c>
    </row>
    <row r="17" spans="1:15">
      <c r="A17" s="6">
        <v>45748</v>
      </c>
      <c r="B17" s="5" t="s">
        <v>1</v>
      </c>
      <c r="C17" s="5" t="s">
        <v>43</v>
      </c>
      <c r="D17" s="5">
        <v>0</v>
      </c>
      <c r="E17" s="5">
        <v>0</v>
      </c>
      <c r="F17" s="5">
        <v>0</v>
      </c>
      <c r="G17" s="5">
        <v>0</v>
      </c>
      <c r="H17" s="5">
        <f t="shared" si="4"/>
        <v>0</v>
      </c>
      <c r="I17" s="5">
        <f t="shared" si="0"/>
        <v>0</v>
      </c>
      <c r="J17" s="7">
        <f t="shared" si="1"/>
        <v>0</v>
      </c>
      <c r="K17" s="7">
        <f t="shared" si="10"/>
        <v>0</v>
      </c>
      <c r="L17" s="7">
        <v>150</v>
      </c>
      <c r="M17" s="8">
        <f t="shared" si="3"/>
        <v>150</v>
      </c>
      <c r="O17" s="5" t="s">
        <v>45</v>
      </c>
    </row>
    <row r="18" spans="1:15">
      <c r="A18" s="3" t="s">
        <v>104</v>
      </c>
      <c r="B18" s="4" t="s">
        <v>105</v>
      </c>
      <c r="C18" s="4" t="s">
        <v>105</v>
      </c>
      <c r="D18" s="4" t="s">
        <v>105</v>
      </c>
      <c r="E18" s="4" t="s">
        <v>105</v>
      </c>
      <c r="F18" s="4" t="s">
        <v>105</v>
      </c>
      <c r="G18" s="4" t="s">
        <v>105</v>
      </c>
      <c r="H18" s="5">
        <f t="shared" ref="H18:M18" si="11">SUBTOTAL(9,H3:H17)</f>
        <v>0</v>
      </c>
      <c r="I18" s="5">
        <f t="shared" si="11"/>
        <v>166</v>
      </c>
      <c r="J18" s="7">
        <f t="shared" si="11"/>
        <v>0</v>
      </c>
      <c r="K18" s="7">
        <f t="shared" si="11"/>
        <v>156.5</v>
      </c>
      <c r="L18" s="7">
        <f t="shared" si="11"/>
        <v>2400</v>
      </c>
      <c r="M18" s="10">
        <f t="shared" si="11"/>
        <v>2556.5</v>
      </c>
    </row>
    <row r="39" spans="6:6" ht="20">
      <c r="F39" s="1"/>
    </row>
  </sheetData>
  <mergeCells count="11">
    <mergeCell ref="O1:O2"/>
    <mergeCell ref="A1:A2"/>
    <mergeCell ref="B1:B2"/>
    <mergeCell ref="C1:C2"/>
    <mergeCell ref="J1:J2"/>
    <mergeCell ref="K1:K2"/>
    <mergeCell ref="L1:L2"/>
    <mergeCell ref="M1:M2"/>
    <mergeCell ref="D1:E1"/>
    <mergeCell ref="F1:G1"/>
    <mergeCell ref="H1:I1"/>
  </mergeCells>
  <phoneticPr fontId="1" type="noConversion"/>
  <conditionalFormatting sqref="A1:XFD1048576">
    <cfRule type="cellIs" dxfId="28" priority="1" operator="equal">
      <formula>0</formula>
    </cfRule>
  </conditionalFormatting>
  <conditionalFormatting sqref="N3:N45">
    <cfRule type="cellIs" priority="2" operator="notEqual">
      <formula>"完成"</formula>
    </cfRule>
    <cfRule type="cellIs" dxfId="27" priority="3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P40"/>
  <sheetViews>
    <sheetView topLeftCell="B1" zoomScale="120" zoomScaleNormal="120" workbookViewId="0">
      <pane ySplit="2" topLeftCell="A3" activePane="bottomLeft" state="frozen"/>
      <selection activeCell="F38" sqref="F38"/>
      <selection pane="bottomLeft" activeCell="K27" sqref="K27"/>
    </sheetView>
  </sheetViews>
  <sheetFormatPr baseColWidth="10" defaultColWidth="10.85546875" defaultRowHeight="18"/>
  <cols>
    <col min="1" max="1" width="16.85546875" style="6" bestFit="1" customWidth="1"/>
    <col min="2" max="2" width="9.8554687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2" width="9.85546875" style="7" bestFit="1" customWidth="1"/>
    <col min="13" max="13" width="12.28515625" style="8" bestFit="1" customWidth="1"/>
    <col min="14" max="14" width="9.42578125" style="5" bestFit="1" customWidth="1"/>
    <col min="15" max="15" width="31.7109375" style="5" bestFit="1" customWidth="1"/>
    <col min="16" max="16384" width="10.85546875" style="5"/>
  </cols>
  <sheetData>
    <row r="1" spans="1:16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  <c r="O1" s="24" t="s">
        <v>27</v>
      </c>
    </row>
    <row r="2" spans="1:16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0</v>
      </c>
      <c r="O2" s="24"/>
    </row>
    <row r="3" spans="1:16">
      <c r="A3" s="6">
        <v>45018</v>
      </c>
      <c r="B3" s="5" t="s">
        <v>2</v>
      </c>
      <c r="C3" s="5" t="s">
        <v>43</v>
      </c>
      <c r="D3" s="5">
        <v>0</v>
      </c>
      <c r="E3" s="5">
        <v>0</v>
      </c>
      <c r="F3" s="5">
        <v>0</v>
      </c>
      <c r="G3" s="5">
        <v>0</v>
      </c>
      <c r="H3" s="5">
        <f t="shared" ref="H3:H9" si="0">D3-E3</f>
        <v>0</v>
      </c>
      <c r="I3" s="5">
        <f t="shared" ref="I3:I9" si="1">F3-G3</f>
        <v>0</v>
      </c>
      <c r="J3" s="7">
        <f t="shared" ref="J3:J9" si="2">H3*3.5</f>
        <v>0</v>
      </c>
      <c r="K3" s="7">
        <f>I3*0.9</f>
        <v>0</v>
      </c>
      <c r="L3" s="7">
        <v>300</v>
      </c>
      <c r="M3" s="8">
        <f t="shared" ref="M3:M9" si="3">J3+K3+L3</f>
        <v>300</v>
      </c>
      <c r="O3" s="5" t="s">
        <v>210</v>
      </c>
    </row>
    <row r="4" spans="1:16">
      <c r="A4" s="6">
        <v>45079</v>
      </c>
      <c r="B4" s="5" t="s">
        <v>2</v>
      </c>
      <c r="C4" s="5" t="s">
        <v>43</v>
      </c>
      <c r="D4" s="5">
        <v>0</v>
      </c>
      <c r="E4" s="5">
        <v>0</v>
      </c>
      <c r="F4" s="5">
        <v>528</v>
      </c>
      <c r="G4" s="5">
        <v>0</v>
      </c>
      <c r="H4" s="5">
        <f t="shared" si="0"/>
        <v>0</v>
      </c>
      <c r="I4" s="5">
        <f t="shared" si="1"/>
        <v>528</v>
      </c>
      <c r="J4" s="7">
        <f t="shared" si="2"/>
        <v>0</v>
      </c>
      <c r="K4" s="7">
        <f>I4*0.9</f>
        <v>475.2</v>
      </c>
      <c r="L4" s="7">
        <v>300</v>
      </c>
      <c r="M4" s="8">
        <f t="shared" si="3"/>
        <v>775.2</v>
      </c>
      <c r="O4" s="5" t="s">
        <v>205</v>
      </c>
    </row>
    <row r="5" spans="1:16">
      <c r="A5" s="6">
        <v>45140</v>
      </c>
      <c r="B5" s="5" t="s">
        <v>2</v>
      </c>
      <c r="C5" s="5" t="s">
        <v>43</v>
      </c>
      <c r="D5" s="5">
        <v>0</v>
      </c>
      <c r="E5" s="5">
        <v>0</v>
      </c>
      <c r="F5" s="5">
        <v>0</v>
      </c>
      <c r="G5" s="5">
        <v>0</v>
      </c>
      <c r="H5" s="5">
        <f t="shared" si="0"/>
        <v>0</v>
      </c>
      <c r="I5" s="5">
        <f t="shared" si="1"/>
        <v>0</v>
      </c>
      <c r="J5" s="7">
        <f t="shared" si="2"/>
        <v>0</v>
      </c>
      <c r="K5" s="7">
        <f t="shared" ref="K5:K6" si="4">I5*0.9</f>
        <v>0</v>
      </c>
      <c r="L5" s="7">
        <v>300</v>
      </c>
      <c r="M5" s="8">
        <f t="shared" si="3"/>
        <v>300</v>
      </c>
      <c r="O5" s="5" t="s">
        <v>206</v>
      </c>
    </row>
    <row r="6" spans="1:16">
      <c r="A6" s="6">
        <v>45201</v>
      </c>
      <c r="B6" s="5" t="s">
        <v>2</v>
      </c>
      <c r="C6" s="5" t="s">
        <v>43</v>
      </c>
      <c r="D6" s="5">
        <v>0</v>
      </c>
      <c r="E6" s="5">
        <v>0</v>
      </c>
      <c r="F6" s="5">
        <v>0</v>
      </c>
      <c r="G6" s="5">
        <v>0</v>
      </c>
      <c r="H6" s="5">
        <f t="shared" si="0"/>
        <v>0</v>
      </c>
      <c r="I6" s="5">
        <f t="shared" si="1"/>
        <v>0</v>
      </c>
      <c r="J6" s="7">
        <f t="shared" si="2"/>
        <v>0</v>
      </c>
      <c r="K6" s="7">
        <f t="shared" si="4"/>
        <v>0</v>
      </c>
      <c r="L6" s="7">
        <v>300</v>
      </c>
      <c r="M6" s="8">
        <f t="shared" si="3"/>
        <v>300</v>
      </c>
      <c r="O6" s="5" t="s">
        <v>207</v>
      </c>
    </row>
    <row r="7" spans="1:16">
      <c r="A7" s="6">
        <v>45262</v>
      </c>
      <c r="B7" s="5" t="s">
        <v>2</v>
      </c>
      <c r="C7" s="5" t="s">
        <v>43</v>
      </c>
      <c r="D7" s="5">
        <v>1022</v>
      </c>
      <c r="E7" s="5">
        <v>993</v>
      </c>
      <c r="F7" s="5">
        <v>747</v>
      </c>
      <c r="G7" s="5">
        <v>528</v>
      </c>
      <c r="H7" s="5">
        <f t="shared" si="0"/>
        <v>29</v>
      </c>
      <c r="I7" s="5">
        <f t="shared" si="1"/>
        <v>219</v>
      </c>
      <c r="J7" s="7">
        <f t="shared" si="2"/>
        <v>101.5</v>
      </c>
      <c r="K7" s="7">
        <f t="shared" ref="K7:K9" si="5">I7*1</f>
        <v>219</v>
      </c>
      <c r="L7" s="7">
        <v>300</v>
      </c>
      <c r="M7" s="8">
        <f t="shared" si="3"/>
        <v>620.5</v>
      </c>
      <c r="O7" s="5" t="s">
        <v>208</v>
      </c>
    </row>
    <row r="8" spans="1:16">
      <c r="A8" s="6">
        <v>45324</v>
      </c>
      <c r="B8" s="5" t="s">
        <v>2</v>
      </c>
      <c r="C8" s="5" t="s">
        <v>43</v>
      </c>
      <c r="D8" s="5">
        <v>0</v>
      </c>
      <c r="E8" s="5">
        <v>0</v>
      </c>
      <c r="F8" s="5">
        <v>0</v>
      </c>
      <c r="G8" s="5">
        <v>0</v>
      </c>
      <c r="H8" s="5">
        <f t="shared" si="0"/>
        <v>0</v>
      </c>
      <c r="I8" s="5">
        <f t="shared" si="1"/>
        <v>0</v>
      </c>
      <c r="J8" s="7">
        <f t="shared" si="2"/>
        <v>0</v>
      </c>
      <c r="K8" s="7">
        <f t="shared" si="5"/>
        <v>0</v>
      </c>
      <c r="L8" s="7">
        <v>150</v>
      </c>
      <c r="M8" s="8">
        <f t="shared" si="3"/>
        <v>150</v>
      </c>
    </row>
    <row r="9" spans="1:16">
      <c r="A9" s="6">
        <v>45353</v>
      </c>
      <c r="B9" s="5" t="s">
        <v>2</v>
      </c>
      <c r="C9" s="5" t="s">
        <v>43</v>
      </c>
      <c r="D9" s="5">
        <v>1025</v>
      </c>
      <c r="E9" s="5">
        <v>1022</v>
      </c>
      <c r="F9" s="5">
        <v>828</v>
      </c>
      <c r="G9" s="5">
        <v>747</v>
      </c>
      <c r="H9" s="5">
        <f t="shared" si="0"/>
        <v>3</v>
      </c>
      <c r="I9" s="5">
        <f t="shared" si="1"/>
        <v>81</v>
      </c>
      <c r="J9" s="7">
        <f t="shared" si="2"/>
        <v>10.5</v>
      </c>
      <c r="K9" s="7">
        <f t="shared" si="5"/>
        <v>81</v>
      </c>
      <c r="L9" s="7">
        <v>400</v>
      </c>
      <c r="M9" s="8">
        <f t="shared" si="3"/>
        <v>491.5</v>
      </c>
      <c r="O9" s="5" t="s">
        <v>209</v>
      </c>
    </row>
    <row r="10" spans="1:16">
      <c r="A10" s="6">
        <v>45414</v>
      </c>
      <c r="B10" s="5" t="s">
        <v>2</v>
      </c>
      <c r="C10" s="5" t="s">
        <v>43</v>
      </c>
      <c r="D10" s="5">
        <v>0</v>
      </c>
      <c r="E10" s="5">
        <v>0</v>
      </c>
      <c r="F10" s="5">
        <v>0</v>
      </c>
      <c r="G10" s="5">
        <v>0</v>
      </c>
      <c r="H10" s="5">
        <f t="shared" ref="H10:H16" si="6">D10-E10</f>
        <v>0</v>
      </c>
      <c r="I10" s="5">
        <f t="shared" ref="I10:I16" si="7">F10-G10</f>
        <v>0</v>
      </c>
      <c r="J10" s="7">
        <f t="shared" ref="J10:J16" si="8">H10*3.5</f>
        <v>0</v>
      </c>
      <c r="K10" s="7">
        <f t="shared" ref="K10:K16" si="9">I10*1</f>
        <v>0</v>
      </c>
      <c r="L10" s="7">
        <v>400</v>
      </c>
      <c r="M10" s="8">
        <f t="shared" ref="M10:M17" si="10">J10+K10+L10</f>
        <v>400</v>
      </c>
      <c r="O10" s="5" t="s">
        <v>204</v>
      </c>
    </row>
    <row r="11" spans="1:16">
      <c r="A11" s="6">
        <v>45475</v>
      </c>
      <c r="B11" s="5" t="s">
        <v>2</v>
      </c>
      <c r="C11" s="5" t="s">
        <v>43</v>
      </c>
      <c r="D11" s="5">
        <v>0</v>
      </c>
      <c r="E11" s="5">
        <v>0</v>
      </c>
      <c r="F11" s="5">
        <v>0</v>
      </c>
      <c r="G11" s="5">
        <v>0</v>
      </c>
      <c r="H11" s="5">
        <f t="shared" si="6"/>
        <v>0</v>
      </c>
      <c r="I11" s="5">
        <f t="shared" si="7"/>
        <v>0</v>
      </c>
      <c r="J11" s="7">
        <f t="shared" si="8"/>
        <v>0</v>
      </c>
      <c r="K11" s="7">
        <f t="shared" si="9"/>
        <v>0</v>
      </c>
      <c r="L11" s="7">
        <v>400</v>
      </c>
      <c r="M11" s="8">
        <f t="shared" si="10"/>
        <v>400</v>
      </c>
      <c r="O11" s="5" t="s">
        <v>211</v>
      </c>
    </row>
    <row r="12" spans="1:16">
      <c r="A12" s="6">
        <v>45537</v>
      </c>
      <c r="B12" s="5" t="s">
        <v>2</v>
      </c>
      <c r="C12" s="5" t="s">
        <v>43</v>
      </c>
      <c r="D12" s="5">
        <v>0</v>
      </c>
      <c r="E12" s="5">
        <v>0</v>
      </c>
      <c r="F12" s="5">
        <v>0</v>
      </c>
      <c r="G12" s="5">
        <v>0</v>
      </c>
      <c r="H12" s="5">
        <f t="shared" si="6"/>
        <v>0</v>
      </c>
      <c r="I12" s="5">
        <f t="shared" si="7"/>
        <v>0</v>
      </c>
      <c r="J12" s="7">
        <f t="shared" si="8"/>
        <v>0</v>
      </c>
      <c r="K12" s="7">
        <f t="shared" si="9"/>
        <v>0</v>
      </c>
      <c r="L12" s="7">
        <v>400</v>
      </c>
      <c r="M12" s="8">
        <f t="shared" si="10"/>
        <v>400</v>
      </c>
      <c r="O12" s="5" t="s">
        <v>212</v>
      </c>
    </row>
    <row r="13" spans="1:16">
      <c r="A13" s="6">
        <v>45598</v>
      </c>
      <c r="B13" s="5" t="s">
        <v>2</v>
      </c>
      <c r="C13" s="5" t="s">
        <v>43</v>
      </c>
      <c r="D13" s="5">
        <v>0</v>
      </c>
      <c r="E13" s="5">
        <v>0</v>
      </c>
      <c r="F13" s="5">
        <v>0</v>
      </c>
      <c r="G13" s="5">
        <v>0</v>
      </c>
      <c r="H13" s="5">
        <f t="shared" si="6"/>
        <v>0</v>
      </c>
      <c r="I13" s="5">
        <f t="shared" si="7"/>
        <v>0</v>
      </c>
      <c r="J13" s="7">
        <f t="shared" si="8"/>
        <v>0</v>
      </c>
      <c r="K13" s="7">
        <f t="shared" si="9"/>
        <v>0</v>
      </c>
      <c r="L13" s="7">
        <v>400</v>
      </c>
      <c r="M13" s="8">
        <f t="shared" si="10"/>
        <v>400</v>
      </c>
      <c r="O13" s="5" t="s">
        <v>213</v>
      </c>
    </row>
    <row r="14" spans="1:16">
      <c r="A14" s="6">
        <v>45657</v>
      </c>
      <c r="B14" s="5" t="s">
        <v>2</v>
      </c>
      <c r="C14" s="5" t="s">
        <v>43</v>
      </c>
      <c r="D14" s="5">
        <v>1048</v>
      </c>
      <c r="E14" s="5">
        <v>1025</v>
      </c>
      <c r="F14" s="5">
        <v>1333</v>
      </c>
      <c r="G14" s="5">
        <v>828</v>
      </c>
      <c r="H14" s="5">
        <f t="shared" si="6"/>
        <v>23</v>
      </c>
      <c r="I14" s="5">
        <f t="shared" si="7"/>
        <v>505</v>
      </c>
      <c r="J14" s="7">
        <f t="shared" si="8"/>
        <v>80.5</v>
      </c>
      <c r="K14" s="7">
        <f t="shared" si="9"/>
        <v>505</v>
      </c>
      <c r="L14" s="7">
        <v>0</v>
      </c>
      <c r="M14" s="8">
        <f t="shared" si="10"/>
        <v>585.5</v>
      </c>
      <c r="O14" s="5" t="s">
        <v>44</v>
      </c>
    </row>
    <row r="15" spans="1:16">
      <c r="A15" s="6">
        <v>45658</v>
      </c>
      <c r="B15" s="5" t="s">
        <v>3</v>
      </c>
      <c r="C15" s="5" t="s">
        <v>43</v>
      </c>
      <c r="D15" s="5">
        <v>0</v>
      </c>
      <c r="E15" s="5">
        <v>0</v>
      </c>
      <c r="F15" s="5">
        <v>0</v>
      </c>
      <c r="G15" s="5">
        <v>0</v>
      </c>
      <c r="H15" s="5">
        <f t="shared" si="6"/>
        <v>0</v>
      </c>
      <c r="I15" s="5">
        <f t="shared" si="7"/>
        <v>0</v>
      </c>
      <c r="J15" s="7">
        <f t="shared" si="8"/>
        <v>0</v>
      </c>
      <c r="K15" s="7">
        <f t="shared" si="9"/>
        <v>0</v>
      </c>
      <c r="L15" s="7">
        <v>400</v>
      </c>
      <c r="M15" s="8">
        <f t="shared" ref="M15:M16" si="11">J15+K15+L15</f>
        <v>400</v>
      </c>
      <c r="O15" s="5" t="s">
        <v>214</v>
      </c>
      <c r="P15" s="5" t="s">
        <v>273</v>
      </c>
    </row>
    <row r="16" spans="1:16">
      <c r="A16" s="6">
        <v>45717</v>
      </c>
      <c r="B16" s="5" t="s">
        <v>4</v>
      </c>
      <c r="C16" s="5" t="s">
        <v>43</v>
      </c>
      <c r="D16" s="5">
        <v>0</v>
      </c>
      <c r="E16" s="5">
        <v>0</v>
      </c>
      <c r="F16" s="5">
        <v>0</v>
      </c>
      <c r="G16" s="5">
        <v>0</v>
      </c>
      <c r="H16" s="5">
        <f t="shared" si="6"/>
        <v>0</v>
      </c>
      <c r="I16" s="5">
        <f t="shared" si="7"/>
        <v>0</v>
      </c>
      <c r="J16" s="7">
        <f t="shared" si="8"/>
        <v>0</v>
      </c>
      <c r="K16" s="7">
        <f t="shared" si="9"/>
        <v>0</v>
      </c>
      <c r="L16" s="7">
        <v>400</v>
      </c>
      <c r="M16" s="8">
        <f t="shared" si="11"/>
        <v>400</v>
      </c>
      <c r="O16" s="5" t="s">
        <v>215</v>
      </c>
      <c r="P16" s="5" t="s">
        <v>273</v>
      </c>
    </row>
    <row r="17" spans="1:16">
      <c r="A17" s="6">
        <v>45778</v>
      </c>
      <c r="B17" s="5" t="s">
        <v>2</v>
      </c>
      <c r="C17" s="5" t="s">
        <v>43</v>
      </c>
      <c r="D17" s="5">
        <v>1057</v>
      </c>
      <c r="E17" s="5">
        <v>1048</v>
      </c>
      <c r="F17" s="5">
        <v>1503</v>
      </c>
      <c r="G17" s="5">
        <v>1333</v>
      </c>
      <c r="H17" s="5">
        <f t="shared" ref="H17:H22" si="12">D17-E17</f>
        <v>9</v>
      </c>
      <c r="I17" s="5">
        <f t="shared" ref="I17:I22" si="13">F17-G17</f>
        <v>170</v>
      </c>
      <c r="J17" s="7">
        <f t="shared" ref="J17:J22" si="14">H17*3.5</f>
        <v>31.5</v>
      </c>
      <c r="K17" s="7">
        <f t="shared" ref="K17:K22" si="15">I17*1</f>
        <v>170</v>
      </c>
      <c r="L17" s="7">
        <v>400</v>
      </c>
      <c r="M17" s="8">
        <f t="shared" si="10"/>
        <v>601.5</v>
      </c>
      <c r="O17" s="5" t="s">
        <v>202</v>
      </c>
      <c r="P17" s="5" t="s">
        <v>273</v>
      </c>
    </row>
    <row r="18" spans="1:16">
      <c r="A18" s="6">
        <v>45839</v>
      </c>
      <c r="B18" s="5" t="s">
        <v>2</v>
      </c>
      <c r="C18" s="5" t="s">
        <v>43</v>
      </c>
      <c r="D18" s="5">
        <v>0</v>
      </c>
      <c r="E18" s="5">
        <v>0</v>
      </c>
      <c r="F18" s="5">
        <v>1638</v>
      </c>
      <c r="G18" s="5">
        <v>1503</v>
      </c>
      <c r="H18" s="5">
        <f t="shared" si="12"/>
        <v>0</v>
      </c>
      <c r="I18" s="5">
        <f t="shared" si="13"/>
        <v>135</v>
      </c>
      <c r="J18" s="7">
        <f t="shared" si="14"/>
        <v>0</v>
      </c>
      <c r="K18" s="7">
        <f t="shared" si="15"/>
        <v>135</v>
      </c>
      <c r="L18" s="7">
        <v>400</v>
      </c>
      <c r="M18" s="8">
        <f t="shared" ref="M18:M22" si="16">J18+K18+L18</f>
        <v>535</v>
      </c>
      <c r="O18" s="5" t="s">
        <v>203</v>
      </c>
      <c r="P18" s="5" t="s">
        <v>273</v>
      </c>
    </row>
    <row r="19" spans="1:16">
      <c r="A19" s="6">
        <v>45901</v>
      </c>
      <c r="B19" s="5" t="s">
        <v>265</v>
      </c>
      <c r="C19" s="5" t="s">
        <v>43</v>
      </c>
      <c r="D19" s="5">
        <v>1064</v>
      </c>
      <c r="E19" s="5">
        <v>1057</v>
      </c>
      <c r="F19" s="5">
        <v>1800</v>
      </c>
      <c r="G19" s="5">
        <v>1638</v>
      </c>
      <c r="H19" s="5">
        <f t="shared" si="12"/>
        <v>7</v>
      </c>
      <c r="I19" s="5">
        <f t="shared" si="13"/>
        <v>162</v>
      </c>
      <c r="J19" s="7">
        <f t="shared" si="14"/>
        <v>24.5</v>
      </c>
      <c r="K19" s="7">
        <f t="shared" si="15"/>
        <v>162</v>
      </c>
      <c r="L19" s="7">
        <v>400</v>
      </c>
      <c r="M19" s="8">
        <f t="shared" si="16"/>
        <v>586.5</v>
      </c>
      <c r="O19" s="5" t="s">
        <v>266</v>
      </c>
      <c r="P19" s="5" t="s">
        <v>273</v>
      </c>
    </row>
    <row r="20" spans="1:16">
      <c r="A20" s="6">
        <v>45962</v>
      </c>
      <c r="B20" s="5" t="s">
        <v>265</v>
      </c>
      <c r="C20" s="5" t="s">
        <v>43</v>
      </c>
      <c r="D20" s="5">
        <v>0</v>
      </c>
      <c r="E20" s="5">
        <v>0</v>
      </c>
      <c r="F20" s="5">
        <v>1961</v>
      </c>
      <c r="G20" s="5">
        <v>1800</v>
      </c>
      <c r="H20" s="5">
        <f t="shared" si="12"/>
        <v>0</v>
      </c>
      <c r="I20" s="5">
        <f t="shared" si="13"/>
        <v>161</v>
      </c>
      <c r="J20" s="7">
        <f t="shared" si="14"/>
        <v>0</v>
      </c>
      <c r="K20" s="7">
        <f t="shared" si="15"/>
        <v>161</v>
      </c>
      <c r="L20" s="7">
        <v>400</v>
      </c>
      <c r="M20" s="8">
        <f t="shared" si="16"/>
        <v>561</v>
      </c>
      <c r="O20" s="5" t="s">
        <v>284</v>
      </c>
      <c r="P20" s="5" t="s">
        <v>273</v>
      </c>
    </row>
    <row r="21" spans="1:16">
      <c r="A21" s="6">
        <v>46023</v>
      </c>
      <c r="B21" s="5" t="s">
        <v>265</v>
      </c>
      <c r="C21" s="5" t="s">
        <v>43</v>
      </c>
      <c r="D21" s="5">
        <v>1070</v>
      </c>
      <c r="E21" s="5">
        <v>1064</v>
      </c>
      <c r="F21" s="5">
        <v>2090</v>
      </c>
      <c r="G21" s="5">
        <v>1961</v>
      </c>
      <c r="H21" s="5">
        <f t="shared" si="12"/>
        <v>6</v>
      </c>
      <c r="I21" s="5">
        <f t="shared" si="13"/>
        <v>129</v>
      </c>
      <c r="J21" s="7">
        <f t="shared" si="14"/>
        <v>21</v>
      </c>
      <c r="K21" s="7">
        <f t="shared" si="15"/>
        <v>129</v>
      </c>
      <c r="L21" s="7">
        <v>400</v>
      </c>
      <c r="M21" s="8">
        <f t="shared" si="16"/>
        <v>550</v>
      </c>
      <c r="O21" s="5" t="s">
        <v>292</v>
      </c>
      <c r="P21" s="5" t="s">
        <v>273</v>
      </c>
    </row>
    <row r="22" spans="1:16">
      <c r="A22" s="6">
        <v>46087</v>
      </c>
      <c r="B22" s="5" t="s">
        <v>318</v>
      </c>
      <c r="C22" s="5" t="s">
        <v>319</v>
      </c>
      <c r="D22" s="5">
        <v>0</v>
      </c>
      <c r="E22" s="5">
        <v>0</v>
      </c>
      <c r="F22" s="5">
        <v>0</v>
      </c>
      <c r="G22" s="5">
        <v>0</v>
      </c>
      <c r="H22" s="5">
        <f t="shared" si="12"/>
        <v>0</v>
      </c>
      <c r="I22" s="5">
        <f t="shared" si="13"/>
        <v>0</v>
      </c>
      <c r="J22" s="7">
        <f t="shared" si="14"/>
        <v>0</v>
      </c>
      <c r="K22" s="7">
        <f t="shared" si="15"/>
        <v>0</v>
      </c>
      <c r="L22" s="7">
        <v>400</v>
      </c>
      <c r="M22" s="8">
        <f t="shared" si="16"/>
        <v>400</v>
      </c>
      <c r="O22" s="5" t="s">
        <v>320</v>
      </c>
      <c r="P22" s="5" t="s">
        <v>321</v>
      </c>
    </row>
    <row r="23" spans="1:16">
      <c r="A23" s="3" t="s">
        <v>104</v>
      </c>
      <c r="B23" s="4" t="s">
        <v>107</v>
      </c>
      <c r="C23" s="4" t="s">
        <v>107</v>
      </c>
      <c r="D23" s="4" t="s">
        <v>107</v>
      </c>
      <c r="E23" s="4" t="s">
        <v>107</v>
      </c>
      <c r="F23" s="4" t="s">
        <v>107</v>
      </c>
      <c r="G23" s="4" t="s">
        <v>107</v>
      </c>
      <c r="H23" s="5">
        <f t="shared" ref="H23:M23" si="17">SUBTOTAL(9,H3:H22)</f>
        <v>77</v>
      </c>
      <c r="I23" s="5">
        <f t="shared" si="17"/>
        <v>2090</v>
      </c>
      <c r="J23" s="7">
        <f t="shared" si="17"/>
        <v>269.5</v>
      </c>
      <c r="K23" s="7">
        <f t="shared" si="17"/>
        <v>2037.2</v>
      </c>
      <c r="L23" s="7">
        <f t="shared" si="17"/>
        <v>6850</v>
      </c>
      <c r="M23" s="10">
        <f t="shared" si="17"/>
        <v>9156.7000000000007</v>
      </c>
    </row>
    <row r="40" spans="6:6" ht="20">
      <c r="F40" s="1"/>
    </row>
  </sheetData>
  <mergeCells count="11">
    <mergeCell ref="A1:A2"/>
    <mergeCell ref="B1:B2"/>
    <mergeCell ref="C1:C2"/>
    <mergeCell ref="D1:E1"/>
    <mergeCell ref="F1:G1"/>
    <mergeCell ref="O1:O2"/>
    <mergeCell ref="H1:I1"/>
    <mergeCell ref="J1:J2"/>
    <mergeCell ref="K1:K2"/>
    <mergeCell ref="L1:L2"/>
    <mergeCell ref="M1:M2"/>
  </mergeCells>
  <phoneticPr fontId="1" type="noConversion"/>
  <conditionalFormatting sqref="A1:XFD1048576">
    <cfRule type="cellIs" dxfId="26" priority="1" operator="equal">
      <formula>0</formula>
    </cfRule>
  </conditionalFormatting>
  <conditionalFormatting sqref="N3:N24">
    <cfRule type="cellIs" priority="2" operator="notEqual">
      <formula>"完成"</formula>
    </cfRule>
    <cfRule type="cellIs" dxfId="25" priority="3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O58"/>
  <sheetViews>
    <sheetView zoomScale="120" zoomScaleNormal="120" workbookViewId="0">
      <pane ySplit="2" topLeftCell="A23" activePane="bottomLeft" state="frozen"/>
      <selection activeCell="F38" sqref="F38"/>
      <selection pane="bottomLeft" activeCell="M38" sqref="M38"/>
    </sheetView>
  </sheetViews>
  <sheetFormatPr baseColWidth="10" defaultColWidth="10.85546875" defaultRowHeight="18"/>
  <cols>
    <col min="1" max="1" width="16.85546875" style="6" bestFit="1" customWidth="1"/>
    <col min="2" max="2" width="9.8554687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2" width="9.85546875" style="7" bestFit="1" customWidth="1"/>
    <col min="13" max="13" width="13" style="8" bestFit="1" customWidth="1"/>
    <col min="14" max="14" width="9.42578125" style="5" bestFit="1" customWidth="1"/>
    <col min="15" max="15" width="68.140625" style="5" bestFit="1" customWidth="1"/>
    <col min="16" max="16384" width="10.85546875" style="5"/>
  </cols>
  <sheetData>
    <row r="1" spans="1:15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  <c r="O1" s="24" t="s">
        <v>69</v>
      </c>
    </row>
    <row r="2" spans="1:15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0</v>
      </c>
      <c r="O2" s="24"/>
    </row>
    <row r="3" spans="1:15">
      <c r="A3" s="6">
        <v>45004</v>
      </c>
      <c r="B3" s="5" t="s">
        <v>220</v>
      </c>
      <c r="C3" s="5" t="s">
        <v>221</v>
      </c>
      <c r="D3" s="5">
        <v>1159</v>
      </c>
      <c r="E3" s="5">
        <v>1159</v>
      </c>
      <c r="F3" s="5">
        <v>402</v>
      </c>
      <c r="G3" s="5">
        <v>402</v>
      </c>
      <c r="H3" s="5">
        <f t="shared" ref="H3:H15" si="0">D3-E3</f>
        <v>0</v>
      </c>
      <c r="I3" s="5">
        <f t="shared" ref="I3:I15" si="1">F3-G3</f>
        <v>0</v>
      </c>
      <c r="J3" s="7">
        <f t="shared" ref="J3:J15" si="2">H3*3.5</f>
        <v>0</v>
      </c>
      <c r="K3" s="7">
        <f t="shared" ref="K3:K6" si="3">I3*0.9</f>
        <v>0</v>
      </c>
      <c r="L3" s="7">
        <v>150</v>
      </c>
      <c r="M3" s="8">
        <f t="shared" ref="M3:M15" si="4">J3+K3+L3</f>
        <v>150</v>
      </c>
    </row>
    <row r="4" spans="1:15">
      <c r="A4" s="6">
        <v>45035</v>
      </c>
      <c r="B4" s="5" t="s">
        <v>220</v>
      </c>
      <c r="C4" s="5" t="s">
        <v>221</v>
      </c>
      <c r="D4" s="5">
        <v>1163</v>
      </c>
      <c r="E4" s="5">
        <v>1159</v>
      </c>
      <c r="F4" s="5">
        <v>482</v>
      </c>
      <c r="G4" s="5">
        <v>402</v>
      </c>
      <c r="H4" s="5">
        <f t="shared" si="0"/>
        <v>4</v>
      </c>
      <c r="I4" s="5">
        <f t="shared" si="1"/>
        <v>80</v>
      </c>
      <c r="J4" s="7">
        <f t="shared" si="2"/>
        <v>14</v>
      </c>
      <c r="K4" s="7">
        <f t="shared" si="3"/>
        <v>72</v>
      </c>
      <c r="L4" s="7">
        <v>150</v>
      </c>
      <c r="M4" s="8">
        <f t="shared" si="4"/>
        <v>236</v>
      </c>
    </row>
    <row r="5" spans="1:15">
      <c r="A5" s="6">
        <v>45065</v>
      </c>
      <c r="B5" s="5" t="s">
        <v>220</v>
      </c>
      <c r="C5" s="5" t="s">
        <v>221</v>
      </c>
      <c r="D5" s="5">
        <v>1168</v>
      </c>
      <c r="E5" s="5">
        <v>1163</v>
      </c>
      <c r="F5" s="5">
        <v>537</v>
      </c>
      <c r="G5" s="5">
        <v>482</v>
      </c>
      <c r="H5" s="5">
        <f t="shared" si="0"/>
        <v>5</v>
      </c>
      <c r="I5" s="5">
        <f t="shared" si="1"/>
        <v>55</v>
      </c>
      <c r="J5" s="7">
        <f t="shared" si="2"/>
        <v>17.5</v>
      </c>
      <c r="K5" s="7">
        <f t="shared" si="3"/>
        <v>49.5</v>
      </c>
      <c r="L5" s="7">
        <v>150</v>
      </c>
      <c r="M5" s="8">
        <f t="shared" si="4"/>
        <v>217</v>
      </c>
    </row>
    <row r="6" spans="1:15">
      <c r="A6" s="6">
        <v>45096</v>
      </c>
      <c r="B6" s="5" t="s">
        <v>220</v>
      </c>
      <c r="C6" s="5" t="s">
        <v>221</v>
      </c>
      <c r="D6" s="5">
        <v>1175</v>
      </c>
      <c r="E6" s="5">
        <v>1168</v>
      </c>
      <c r="F6" s="5">
        <v>589</v>
      </c>
      <c r="G6" s="5">
        <v>537</v>
      </c>
      <c r="H6" s="5">
        <f t="shared" si="0"/>
        <v>7</v>
      </c>
      <c r="I6" s="5">
        <f t="shared" si="1"/>
        <v>52</v>
      </c>
      <c r="J6" s="7">
        <f t="shared" si="2"/>
        <v>24.5</v>
      </c>
      <c r="K6" s="7">
        <f t="shared" si="3"/>
        <v>46.800000000000004</v>
      </c>
      <c r="L6" s="7">
        <v>150</v>
      </c>
      <c r="M6" s="8">
        <f t="shared" si="4"/>
        <v>221.3</v>
      </c>
    </row>
    <row r="7" spans="1:15">
      <c r="A7" s="6">
        <v>45126</v>
      </c>
      <c r="B7" s="5" t="s">
        <v>220</v>
      </c>
      <c r="C7" s="5" t="s">
        <v>221</v>
      </c>
      <c r="D7" s="5">
        <v>1180</v>
      </c>
      <c r="E7" s="5">
        <v>1175</v>
      </c>
      <c r="F7" s="5">
        <v>637</v>
      </c>
      <c r="G7" s="5">
        <v>589</v>
      </c>
      <c r="H7" s="5">
        <f t="shared" si="0"/>
        <v>5</v>
      </c>
      <c r="I7" s="5">
        <f t="shared" si="1"/>
        <v>48</v>
      </c>
      <c r="J7" s="7">
        <f t="shared" si="2"/>
        <v>17.5</v>
      </c>
      <c r="K7" s="7">
        <f>I7*0.9</f>
        <v>43.2</v>
      </c>
      <c r="L7" s="7">
        <v>150</v>
      </c>
      <c r="M7" s="8">
        <f t="shared" si="4"/>
        <v>210.7</v>
      </c>
    </row>
    <row r="8" spans="1:15">
      <c r="A8" s="6">
        <v>45157</v>
      </c>
      <c r="B8" s="5" t="s">
        <v>220</v>
      </c>
      <c r="C8" s="5" t="s">
        <v>221</v>
      </c>
      <c r="D8" s="5">
        <v>1187</v>
      </c>
      <c r="E8" s="5">
        <v>1180</v>
      </c>
      <c r="F8" s="5">
        <v>689</v>
      </c>
      <c r="G8" s="5">
        <v>637</v>
      </c>
      <c r="H8" s="5">
        <f t="shared" si="0"/>
        <v>7</v>
      </c>
      <c r="I8" s="5">
        <f t="shared" si="1"/>
        <v>52</v>
      </c>
      <c r="J8" s="7">
        <f t="shared" si="2"/>
        <v>24.5</v>
      </c>
      <c r="K8" s="7">
        <f>I8*0.9</f>
        <v>46.800000000000004</v>
      </c>
      <c r="L8" s="7">
        <v>150</v>
      </c>
      <c r="M8" s="8">
        <f t="shared" si="4"/>
        <v>221.3</v>
      </c>
    </row>
    <row r="9" spans="1:15">
      <c r="A9" s="6">
        <v>45188</v>
      </c>
      <c r="B9" s="5" t="s">
        <v>220</v>
      </c>
      <c r="C9" s="5" t="s">
        <v>221</v>
      </c>
      <c r="D9" s="5">
        <v>1194</v>
      </c>
      <c r="E9" s="5">
        <v>1187</v>
      </c>
      <c r="F9" s="5">
        <v>738</v>
      </c>
      <c r="G9" s="5">
        <v>689</v>
      </c>
      <c r="H9" s="5">
        <f t="shared" si="0"/>
        <v>7</v>
      </c>
      <c r="I9" s="5">
        <f t="shared" si="1"/>
        <v>49</v>
      </c>
      <c r="J9" s="7">
        <f t="shared" si="2"/>
        <v>24.5</v>
      </c>
      <c r="K9" s="7">
        <f t="shared" ref="K9:K15" si="5">I9*1</f>
        <v>49</v>
      </c>
      <c r="L9" s="7">
        <v>150</v>
      </c>
      <c r="M9" s="8">
        <f t="shared" si="4"/>
        <v>223.5</v>
      </c>
    </row>
    <row r="10" spans="1:15">
      <c r="A10" s="6">
        <v>45218</v>
      </c>
      <c r="B10" s="5" t="s">
        <v>220</v>
      </c>
      <c r="C10" s="5" t="s">
        <v>221</v>
      </c>
      <c r="D10" s="5">
        <v>1200</v>
      </c>
      <c r="E10" s="5">
        <v>1194</v>
      </c>
      <c r="F10" s="5">
        <v>792</v>
      </c>
      <c r="G10" s="5">
        <v>738</v>
      </c>
      <c r="H10" s="5">
        <f t="shared" si="0"/>
        <v>6</v>
      </c>
      <c r="I10" s="5">
        <f t="shared" si="1"/>
        <v>54</v>
      </c>
      <c r="J10" s="7">
        <f t="shared" si="2"/>
        <v>21</v>
      </c>
      <c r="K10" s="7">
        <f t="shared" si="5"/>
        <v>54</v>
      </c>
      <c r="L10" s="7">
        <v>150</v>
      </c>
      <c r="M10" s="8">
        <f t="shared" si="4"/>
        <v>225</v>
      </c>
    </row>
    <row r="11" spans="1:15">
      <c r="A11" s="6">
        <v>45249</v>
      </c>
      <c r="B11" s="5" t="s">
        <v>220</v>
      </c>
      <c r="C11" s="5" t="s">
        <v>221</v>
      </c>
      <c r="D11" s="5">
        <v>1202</v>
      </c>
      <c r="E11" s="5">
        <v>1200</v>
      </c>
      <c r="F11" s="5">
        <v>861</v>
      </c>
      <c r="G11" s="5">
        <v>792</v>
      </c>
      <c r="H11" s="5">
        <f t="shared" si="0"/>
        <v>2</v>
      </c>
      <c r="I11" s="5">
        <f t="shared" si="1"/>
        <v>69</v>
      </c>
      <c r="J11" s="7">
        <f t="shared" si="2"/>
        <v>7</v>
      </c>
      <c r="K11" s="7">
        <f t="shared" si="5"/>
        <v>69</v>
      </c>
      <c r="L11" s="7">
        <v>150</v>
      </c>
      <c r="M11" s="8">
        <f t="shared" si="4"/>
        <v>226</v>
      </c>
    </row>
    <row r="12" spans="1:15">
      <c r="A12" s="6">
        <v>45279</v>
      </c>
      <c r="B12" s="5" t="s">
        <v>220</v>
      </c>
      <c r="C12" s="5" t="s">
        <v>221</v>
      </c>
      <c r="D12" s="5">
        <v>1208</v>
      </c>
      <c r="E12" s="5">
        <v>1202</v>
      </c>
      <c r="F12" s="5">
        <v>915</v>
      </c>
      <c r="G12" s="5">
        <v>861</v>
      </c>
      <c r="H12" s="5">
        <f t="shared" si="0"/>
        <v>6</v>
      </c>
      <c r="I12" s="5">
        <f t="shared" si="1"/>
        <v>54</v>
      </c>
      <c r="J12" s="7">
        <f t="shared" si="2"/>
        <v>21</v>
      </c>
      <c r="K12" s="7">
        <f t="shared" si="5"/>
        <v>54</v>
      </c>
      <c r="L12" s="7">
        <v>150</v>
      </c>
      <c r="M12" s="8">
        <f t="shared" si="4"/>
        <v>225</v>
      </c>
    </row>
    <row r="13" spans="1:15">
      <c r="A13" s="6">
        <v>45310</v>
      </c>
      <c r="B13" s="5" t="s">
        <v>220</v>
      </c>
      <c r="C13" s="5" t="s">
        <v>221</v>
      </c>
      <c r="D13" s="5">
        <v>0</v>
      </c>
      <c r="E13" s="5">
        <v>0</v>
      </c>
      <c r="F13" s="5">
        <v>0</v>
      </c>
      <c r="G13" s="5">
        <v>0</v>
      </c>
      <c r="H13" s="5">
        <f t="shared" ref="H13" si="6">D13-E13</f>
        <v>0</v>
      </c>
      <c r="I13" s="5">
        <f t="shared" si="1"/>
        <v>0</v>
      </c>
      <c r="J13" s="7">
        <f t="shared" si="2"/>
        <v>0</v>
      </c>
      <c r="K13" s="7">
        <f t="shared" si="5"/>
        <v>0</v>
      </c>
      <c r="L13" s="7">
        <v>150</v>
      </c>
      <c r="M13" s="8">
        <f t="shared" si="4"/>
        <v>150</v>
      </c>
    </row>
    <row r="14" spans="1:15">
      <c r="A14" s="6">
        <v>45341</v>
      </c>
      <c r="B14" s="5" t="s">
        <v>220</v>
      </c>
      <c r="C14" s="5" t="s">
        <v>221</v>
      </c>
      <c r="D14" s="5">
        <v>0</v>
      </c>
      <c r="E14" s="5">
        <v>0</v>
      </c>
      <c r="F14" s="5">
        <v>0</v>
      </c>
      <c r="G14" s="5">
        <v>0</v>
      </c>
      <c r="H14" s="5">
        <f t="shared" si="0"/>
        <v>0</v>
      </c>
      <c r="I14" s="5">
        <f t="shared" si="1"/>
        <v>0</v>
      </c>
      <c r="J14" s="7">
        <f t="shared" si="2"/>
        <v>0</v>
      </c>
      <c r="K14" s="7">
        <f t="shared" si="5"/>
        <v>0</v>
      </c>
      <c r="L14" s="7">
        <v>150</v>
      </c>
      <c r="M14" s="8">
        <f t="shared" si="4"/>
        <v>150</v>
      </c>
    </row>
    <row r="15" spans="1:15">
      <c r="A15" s="6">
        <v>45370</v>
      </c>
      <c r="B15" s="5" t="s">
        <v>220</v>
      </c>
      <c r="C15" s="5" t="s">
        <v>221</v>
      </c>
      <c r="D15" s="5">
        <v>1214</v>
      </c>
      <c r="E15" s="5">
        <v>1208</v>
      </c>
      <c r="F15" s="5">
        <v>1009</v>
      </c>
      <c r="G15" s="5">
        <v>915</v>
      </c>
      <c r="H15" s="5">
        <f t="shared" si="0"/>
        <v>6</v>
      </c>
      <c r="I15" s="5">
        <f t="shared" si="1"/>
        <v>94</v>
      </c>
      <c r="J15" s="7">
        <f t="shared" si="2"/>
        <v>21</v>
      </c>
      <c r="K15" s="7">
        <f t="shared" si="5"/>
        <v>94</v>
      </c>
      <c r="L15" s="7">
        <v>200</v>
      </c>
      <c r="M15" s="8">
        <f t="shared" si="4"/>
        <v>315</v>
      </c>
    </row>
    <row r="16" spans="1:15">
      <c r="A16" s="6">
        <v>45401</v>
      </c>
      <c r="B16" s="5" t="s">
        <v>3</v>
      </c>
      <c r="C16" s="5" t="s">
        <v>46</v>
      </c>
      <c r="D16" s="5">
        <v>1227</v>
      </c>
      <c r="E16" s="5">
        <v>1214</v>
      </c>
      <c r="F16" s="5">
        <v>1153</v>
      </c>
      <c r="G16" s="5">
        <v>1009</v>
      </c>
      <c r="H16" s="5">
        <f t="shared" ref="H16:H26" si="7">D16-E16</f>
        <v>13</v>
      </c>
      <c r="I16" s="5">
        <f t="shared" ref="I16:I26" si="8">F16-G16</f>
        <v>144</v>
      </c>
      <c r="J16" s="7">
        <f t="shared" ref="J16:J26" si="9">H16*3.5</f>
        <v>45.5</v>
      </c>
      <c r="K16" s="7">
        <f t="shared" ref="K16:K26" si="10">I16*1</f>
        <v>144</v>
      </c>
      <c r="L16" s="7">
        <v>200</v>
      </c>
      <c r="M16" s="8">
        <f t="shared" ref="M16:M28" si="11">J16+K16+L16</f>
        <v>389.5</v>
      </c>
    </row>
    <row r="17" spans="1:15">
      <c r="A17" s="6">
        <v>45431</v>
      </c>
      <c r="B17" s="5" t="s">
        <v>3</v>
      </c>
      <c r="C17" s="5" t="s">
        <v>46</v>
      </c>
      <c r="D17" s="5">
        <v>1235</v>
      </c>
      <c r="E17" s="5">
        <v>1227</v>
      </c>
      <c r="F17" s="5">
        <v>1219</v>
      </c>
      <c r="G17" s="5">
        <v>1153</v>
      </c>
      <c r="H17" s="5">
        <f t="shared" si="7"/>
        <v>8</v>
      </c>
      <c r="I17" s="5">
        <f t="shared" si="8"/>
        <v>66</v>
      </c>
      <c r="J17" s="7">
        <f t="shared" si="9"/>
        <v>28</v>
      </c>
      <c r="K17" s="7">
        <f t="shared" si="10"/>
        <v>66</v>
      </c>
      <c r="L17" s="7">
        <v>200</v>
      </c>
      <c r="M17" s="8">
        <f t="shared" si="11"/>
        <v>294</v>
      </c>
    </row>
    <row r="18" spans="1:15">
      <c r="A18" s="6">
        <v>45462</v>
      </c>
      <c r="B18" s="5" t="s">
        <v>3</v>
      </c>
      <c r="C18" s="5" t="s">
        <v>46</v>
      </c>
      <c r="D18" s="5">
        <v>1243</v>
      </c>
      <c r="E18" s="5">
        <v>1235</v>
      </c>
      <c r="F18" s="5">
        <v>1294</v>
      </c>
      <c r="G18" s="5">
        <v>1219</v>
      </c>
      <c r="H18" s="5">
        <f t="shared" si="7"/>
        <v>8</v>
      </c>
      <c r="I18" s="5">
        <f t="shared" si="8"/>
        <v>75</v>
      </c>
      <c r="J18" s="7">
        <f t="shared" si="9"/>
        <v>28</v>
      </c>
      <c r="K18" s="7">
        <f t="shared" si="10"/>
        <v>75</v>
      </c>
      <c r="L18" s="7">
        <v>200</v>
      </c>
      <c r="M18" s="8">
        <f t="shared" si="11"/>
        <v>303</v>
      </c>
    </row>
    <row r="19" spans="1:15">
      <c r="A19" s="6">
        <v>45492</v>
      </c>
      <c r="B19" s="5" t="s">
        <v>3</v>
      </c>
      <c r="C19" s="5" t="s">
        <v>46</v>
      </c>
      <c r="D19" s="5">
        <v>1251</v>
      </c>
      <c r="E19" s="5">
        <v>1243</v>
      </c>
      <c r="F19" s="5">
        <v>1350</v>
      </c>
      <c r="G19" s="5">
        <v>1294</v>
      </c>
      <c r="H19" s="5">
        <f t="shared" si="7"/>
        <v>8</v>
      </c>
      <c r="I19" s="5">
        <f t="shared" si="8"/>
        <v>56</v>
      </c>
      <c r="J19" s="7">
        <f t="shared" si="9"/>
        <v>28</v>
      </c>
      <c r="K19" s="7">
        <f t="shared" si="10"/>
        <v>56</v>
      </c>
      <c r="L19" s="7">
        <v>200</v>
      </c>
      <c r="M19" s="8">
        <f t="shared" si="11"/>
        <v>284</v>
      </c>
    </row>
    <row r="20" spans="1:15">
      <c r="A20" s="6">
        <v>45523</v>
      </c>
      <c r="B20" s="5" t="s">
        <v>3</v>
      </c>
      <c r="C20" s="5" t="s">
        <v>46</v>
      </c>
      <c r="D20" s="5">
        <v>1265</v>
      </c>
      <c r="E20" s="5">
        <v>1251</v>
      </c>
      <c r="F20" s="5">
        <v>1452</v>
      </c>
      <c r="G20" s="5">
        <v>1350</v>
      </c>
      <c r="H20" s="5">
        <f t="shared" si="7"/>
        <v>14</v>
      </c>
      <c r="I20" s="5">
        <f t="shared" si="8"/>
        <v>102</v>
      </c>
      <c r="J20" s="7">
        <f t="shared" si="9"/>
        <v>49</v>
      </c>
      <c r="K20" s="7">
        <f t="shared" si="10"/>
        <v>102</v>
      </c>
      <c r="L20" s="7">
        <v>200</v>
      </c>
      <c r="M20" s="8">
        <f t="shared" si="11"/>
        <v>351</v>
      </c>
    </row>
    <row r="21" spans="1:15">
      <c r="A21" s="6">
        <v>45554</v>
      </c>
      <c r="B21" s="5" t="s">
        <v>3</v>
      </c>
      <c r="C21" s="5" t="s">
        <v>46</v>
      </c>
      <c r="D21" s="5">
        <v>1272</v>
      </c>
      <c r="E21" s="5">
        <v>1265</v>
      </c>
      <c r="F21" s="5">
        <v>1571</v>
      </c>
      <c r="G21" s="5">
        <v>1452</v>
      </c>
      <c r="H21" s="5">
        <f t="shared" si="7"/>
        <v>7</v>
      </c>
      <c r="I21" s="5">
        <f t="shared" si="8"/>
        <v>119</v>
      </c>
      <c r="J21" s="7">
        <f t="shared" si="9"/>
        <v>24.5</v>
      </c>
      <c r="K21" s="7">
        <f t="shared" si="10"/>
        <v>119</v>
      </c>
      <c r="L21" s="7">
        <v>200</v>
      </c>
      <c r="M21" s="8">
        <f t="shared" si="11"/>
        <v>343.5</v>
      </c>
    </row>
    <row r="22" spans="1:15">
      <c r="A22" s="6">
        <v>45584</v>
      </c>
      <c r="B22" s="5" t="s">
        <v>3</v>
      </c>
      <c r="C22" s="5" t="s">
        <v>46</v>
      </c>
      <c r="D22" s="5">
        <v>1280</v>
      </c>
      <c r="E22" s="5">
        <v>1272</v>
      </c>
      <c r="F22" s="5">
        <v>1669</v>
      </c>
      <c r="G22" s="5">
        <v>1571</v>
      </c>
      <c r="H22" s="5">
        <f t="shared" si="7"/>
        <v>8</v>
      </c>
      <c r="I22" s="5">
        <f t="shared" si="8"/>
        <v>98</v>
      </c>
      <c r="J22" s="7">
        <f t="shared" si="9"/>
        <v>28</v>
      </c>
      <c r="K22" s="7">
        <f t="shared" si="10"/>
        <v>98</v>
      </c>
      <c r="L22" s="7">
        <v>200</v>
      </c>
      <c r="M22" s="8">
        <f t="shared" si="11"/>
        <v>326</v>
      </c>
    </row>
    <row r="23" spans="1:15">
      <c r="A23" s="6">
        <v>45615</v>
      </c>
      <c r="B23" s="5" t="s">
        <v>3</v>
      </c>
      <c r="C23" s="5" t="s">
        <v>46</v>
      </c>
      <c r="D23" s="5">
        <v>1286</v>
      </c>
      <c r="E23" s="5">
        <v>1280</v>
      </c>
      <c r="F23" s="5">
        <v>1760</v>
      </c>
      <c r="G23" s="5">
        <v>1669</v>
      </c>
      <c r="H23" s="5">
        <f t="shared" si="7"/>
        <v>6</v>
      </c>
      <c r="I23" s="5">
        <f t="shared" si="8"/>
        <v>91</v>
      </c>
      <c r="J23" s="7">
        <f t="shared" si="9"/>
        <v>21</v>
      </c>
      <c r="K23" s="7">
        <f t="shared" si="10"/>
        <v>91</v>
      </c>
      <c r="L23" s="7">
        <v>200</v>
      </c>
      <c r="M23" s="8">
        <f t="shared" si="11"/>
        <v>312</v>
      </c>
    </row>
    <row r="24" spans="1:15">
      <c r="A24" s="6">
        <v>45645</v>
      </c>
      <c r="B24" s="5" t="s">
        <v>3</v>
      </c>
      <c r="C24" s="5" t="s">
        <v>46</v>
      </c>
      <c r="D24" s="5">
        <v>0</v>
      </c>
      <c r="E24" s="5">
        <v>0</v>
      </c>
      <c r="F24" s="5">
        <v>0</v>
      </c>
      <c r="G24" s="5">
        <v>0</v>
      </c>
      <c r="H24" s="5">
        <f t="shared" si="7"/>
        <v>0</v>
      </c>
      <c r="I24" s="5">
        <f t="shared" si="8"/>
        <v>0</v>
      </c>
      <c r="J24" s="7">
        <f t="shared" si="9"/>
        <v>0</v>
      </c>
      <c r="K24" s="7">
        <f t="shared" si="10"/>
        <v>0</v>
      </c>
      <c r="L24" s="7">
        <v>200</v>
      </c>
      <c r="M24" s="8">
        <f t="shared" si="11"/>
        <v>200</v>
      </c>
      <c r="O24" s="5" t="s">
        <v>47</v>
      </c>
    </row>
    <row r="25" spans="1:15">
      <c r="A25" s="6">
        <v>45658</v>
      </c>
      <c r="B25" s="5" t="s">
        <v>3</v>
      </c>
      <c r="C25" s="5" t="s">
        <v>46</v>
      </c>
      <c r="D25" s="5">
        <v>0</v>
      </c>
      <c r="E25" s="5">
        <v>0</v>
      </c>
      <c r="F25" s="5">
        <v>0</v>
      </c>
      <c r="G25" s="5">
        <v>0</v>
      </c>
      <c r="H25" s="5">
        <f t="shared" si="7"/>
        <v>0</v>
      </c>
      <c r="I25" s="5">
        <f t="shared" si="8"/>
        <v>0</v>
      </c>
      <c r="J25" s="7">
        <f t="shared" si="9"/>
        <v>0</v>
      </c>
      <c r="K25" s="7">
        <f t="shared" si="10"/>
        <v>0</v>
      </c>
      <c r="L25" s="7">
        <v>200</v>
      </c>
      <c r="M25" s="8">
        <f t="shared" si="11"/>
        <v>200</v>
      </c>
    </row>
    <row r="26" spans="1:15">
      <c r="A26" s="6">
        <v>45689</v>
      </c>
      <c r="B26" s="5" t="s">
        <v>3</v>
      </c>
      <c r="C26" s="5" t="s">
        <v>46</v>
      </c>
      <c r="D26" s="5">
        <v>0</v>
      </c>
      <c r="E26" s="5">
        <v>0</v>
      </c>
      <c r="F26" s="5">
        <v>0</v>
      </c>
      <c r="G26" s="5">
        <v>0</v>
      </c>
      <c r="H26" s="5">
        <f t="shared" si="7"/>
        <v>0</v>
      </c>
      <c r="I26" s="5">
        <f t="shared" si="8"/>
        <v>0</v>
      </c>
      <c r="J26" s="7">
        <f t="shared" si="9"/>
        <v>0</v>
      </c>
      <c r="K26" s="7">
        <f t="shared" si="10"/>
        <v>0</v>
      </c>
      <c r="L26" s="7">
        <v>200</v>
      </c>
      <c r="M26" s="8">
        <f t="shared" si="11"/>
        <v>200</v>
      </c>
    </row>
    <row r="27" spans="1:15">
      <c r="A27" s="6">
        <v>45717</v>
      </c>
      <c r="B27" s="5" t="s">
        <v>3</v>
      </c>
      <c r="C27" s="5" t="s">
        <v>46</v>
      </c>
      <c r="D27" s="5">
        <v>1295</v>
      </c>
      <c r="E27" s="5">
        <v>1286</v>
      </c>
      <c r="F27" s="5">
        <v>110</v>
      </c>
      <c r="G27" s="5">
        <v>0</v>
      </c>
      <c r="H27" s="5">
        <f t="shared" ref="H27:H39" si="12">D27-E27</f>
        <v>9</v>
      </c>
      <c r="I27" s="5">
        <f t="shared" ref="I27:I39" si="13">F27-G27</f>
        <v>110</v>
      </c>
      <c r="J27" s="7">
        <f t="shared" ref="J27:J39" si="14">H27*3.5</f>
        <v>31.5</v>
      </c>
      <c r="K27" s="7">
        <f t="shared" ref="K27:K39" si="15">I27*1</f>
        <v>110</v>
      </c>
      <c r="L27" s="7">
        <v>200</v>
      </c>
      <c r="M27" s="8">
        <f t="shared" si="11"/>
        <v>341.5</v>
      </c>
    </row>
    <row r="28" spans="1:15">
      <c r="A28" s="6">
        <v>45748</v>
      </c>
      <c r="B28" s="5" t="s">
        <v>3</v>
      </c>
      <c r="C28" s="5" t="s">
        <v>46</v>
      </c>
      <c r="D28" s="5">
        <v>1300</v>
      </c>
      <c r="E28" s="5">
        <v>1295</v>
      </c>
      <c r="F28" s="5">
        <v>213</v>
      </c>
      <c r="G28" s="5">
        <v>110</v>
      </c>
      <c r="H28" s="5">
        <f t="shared" si="12"/>
        <v>5</v>
      </c>
      <c r="I28" s="5">
        <f t="shared" si="13"/>
        <v>103</v>
      </c>
      <c r="J28" s="7">
        <f t="shared" si="14"/>
        <v>17.5</v>
      </c>
      <c r="K28" s="7">
        <f t="shared" si="15"/>
        <v>103</v>
      </c>
      <c r="L28" s="7">
        <v>200</v>
      </c>
      <c r="M28" s="8">
        <f t="shared" si="11"/>
        <v>320.5</v>
      </c>
    </row>
    <row r="29" spans="1:15">
      <c r="A29" s="6">
        <v>45778</v>
      </c>
      <c r="B29" s="5" t="s">
        <v>3</v>
      </c>
      <c r="C29" s="5" t="s">
        <v>46</v>
      </c>
      <c r="D29" s="5">
        <v>1306</v>
      </c>
      <c r="E29" s="5">
        <v>1300</v>
      </c>
      <c r="F29" s="5">
        <v>305</v>
      </c>
      <c r="G29" s="5">
        <v>213</v>
      </c>
      <c r="H29" s="5">
        <f t="shared" si="12"/>
        <v>6</v>
      </c>
      <c r="I29" s="5">
        <f t="shared" si="13"/>
        <v>92</v>
      </c>
      <c r="J29" s="7">
        <f t="shared" si="14"/>
        <v>21</v>
      </c>
      <c r="K29" s="7">
        <f t="shared" si="15"/>
        <v>92</v>
      </c>
      <c r="L29" s="7">
        <v>200</v>
      </c>
      <c r="M29" s="8">
        <f t="shared" ref="M29:M39" si="16">J29+K29+L29</f>
        <v>313</v>
      </c>
    </row>
    <row r="30" spans="1:15">
      <c r="A30" s="6">
        <v>45809</v>
      </c>
      <c r="B30" s="5" t="s">
        <v>3</v>
      </c>
      <c r="C30" s="5" t="s">
        <v>46</v>
      </c>
      <c r="D30" s="5">
        <v>1314</v>
      </c>
      <c r="E30" s="5">
        <v>1306</v>
      </c>
      <c r="F30" s="5">
        <v>424</v>
      </c>
      <c r="G30" s="5">
        <v>305</v>
      </c>
      <c r="H30" s="5">
        <f t="shared" si="12"/>
        <v>8</v>
      </c>
      <c r="I30" s="5">
        <f t="shared" si="13"/>
        <v>119</v>
      </c>
      <c r="J30" s="7">
        <f t="shared" si="14"/>
        <v>28</v>
      </c>
      <c r="K30" s="7">
        <f t="shared" si="15"/>
        <v>119</v>
      </c>
      <c r="L30" s="7">
        <v>200</v>
      </c>
      <c r="M30" s="8">
        <f t="shared" si="16"/>
        <v>347</v>
      </c>
    </row>
    <row r="31" spans="1:15">
      <c r="A31" s="6">
        <v>45839</v>
      </c>
      <c r="B31" s="5" t="s">
        <v>3</v>
      </c>
      <c r="C31" s="5" t="s">
        <v>46</v>
      </c>
      <c r="D31" s="5">
        <v>1321</v>
      </c>
      <c r="E31" s="5">
        <v>1314</v>
      </c>
      <c r="F31" s="5">
        <v>536</v>
      </c>
      <c r="G31" s="5">
        <v>424</v>
      </c>
      <c r="H31" s="5">
        <f t="shared" si="12"/>
        <v>7</v>
      </c>
      <c r="I31" s="5">
        <f t="shared" si="13"/>
        <v>112</v>
      </c>
      <c r="J31" s="7">
        <f t="shared" si="14"/>
        <v>24.5</v>
      </c>
      <c r="K31" s="7">
        <f t="shared" si="15"/>
        <v>112</v>
      </c>
      <c r="L31" s="7">
        <v>200</v>
      </c>
      <c r="M31" s="8">
        <f t="shared" si="16"/>
        <v>336.5</v>
      </c>
    </row>
    <row r="32" spans="1:15">
      <c r="A32" s="6">
        <v>45870</v>
      </c>
      <c r="B32" s="5" t="s">
        <v>86</v>
      </c>
      <c r="C32" s="5" t="s">
        <v>46</v>
      </c>
      <c r="D32" s="5">
        <v>1328</v>
      </c>
      <c r="E32" s="5">
        <v>1321</v>
      </c>
      <c r="F32" s="5">
        <v>654</v>
      </c>
      <c r="G32" s="5">
        <v>536</v>
      </c>
      <c r="H32" s="5">
        <f t="shared" si="12"/>
        <v>7</v>
      </c>
      <c r="I32" s="5">
        <f t="shared" si="13"/>
        <v>118</v>
      </c>
      <c r="J32" s="7">
        <f t="shared" si="14"/>
        <v>24.5</v>
      </c>
      <c r="K32" s="7">
        <f t="shared" si="15"/>
        <v>118</v>
      </c>
      <c r="L32" s="7">
        <v>200</v>
      </c>
      <c r="M32" s="8">
        <f t="shared" si="16"/>
        <v>342.5</v>
      </c>
    </row>
    <row r="33" spans="1:15">
      <c r="A33" s="6">
        <v>45901</v>
      </c>
      <c r="B33" s="5" t="s">
        <v>86</v>
      </c>
      <c r="C33" s="5" t="s">
        <v>46</v>
      </c>
      <c r="D33" s="5">
        <v>1335</v>
      </c>
      <c r="E33" s="5">
        <v>1328</v>
      </c>
      <c r="F33" s="5">
        <v>762</v>
      </c>
      <c r="G33" s="5">
        <v>654</v>
      </c>
      <c r="H33" s="5">
        <f t="shared" si="12"/>
        <v>7</v>
      </c>
      <c r="I33" s="5">
        <f t="shared" si="13"/>
        <v>108</v>
      </c>
      <c r="J33" s="7">
        <f t="shared" si="14"/>
        <v>24.5</v>
      </c>
      <c r="K33" s="7">
        <f t="shared" si="15"/>
        <v>108</v>
      </c>
      <c r="L33" s="7">
        <v>200</v>
      </c>
      <c r="M33" s="8">
        <f t="shared" si="16"/>
        <v>332.5</v>
      </c>
    </row>
    <row r="34" spans="1:15">
      <c r="A34" s="6">
        <v>45931</v>
      </c>
      <c r="B34" s="5" t="s">
        <v>86</v>
      </c>
      <c r="C34" s="5" t="s">
        <v>46</v>
      </c>
      <c r="D34" s="5">
        <v>1340</v>
      </c>
      <c r="E34" s="5">
        <v>1335</v>
      </c>
      <c r="F34" s="5">
        <v>867</v>
      </c>
      <c r="G34" s="5">
        <v>762</v>
      </c>
      <c r="H34" s="5">
        <f t="shared" si="12"/>
        <v>5</v>
      </c>
      <c r="I34" s="5">
        <f t="shared" si="13"/>
        <v>105</v>
      </c>
      <c r="J34" s="7">
        <f t="shared" si="14"/>
        <v>17.5</v>
      </c>
      <c r="K34" s="7">
        <f t="shared" si="15"/>
        <v>105</v>
      </c>
      <c r="L34" s="7">
        <v>200</v>
      </c>
      <c r="M34" s="8">
        <f t="shared" si="16"/>
        <v>322.5</v>
      </c>
    </row>
    <row r="35" spans="1:15">
      <c r="A35" s="6">
        <v>45962</v>
      </c>
      <c r="B35" s="5" t="s">
        <v>86</v>
      </c>
      <c r="C35" s="5" t="s">
        <v>221</v>
      </c>
      <c r="D35" s="5">
        <v>1345</v>
      </c>
      <c r="E35" s="5">
        <v>1340</v>
      </c>
      <c r="F35" s="5">
        <v>933</v>
      </c>
      <c r="G35" s="5">
        <v>867</v>
      </c>
      <c r="H35" s="5">
        <f t="shared" si="12"/>
        <v>5</v>
      </c>
      <c r="I35" s="5">
        <f t="shared" si="13"/>
        <v>66</v>
      </c>
      <c r="J35" s="7">
        <f t="shared" si="14"/>
        <v>17.5</v>
      </c>
      <c r="K35" s="7">
        <f t="shared" si="15"/>
        <v>66</v>
      </c>
      <c r="L35" s="7">
        <v>200</v>
      </c>
      <c r="M35" s="8">
        <f t="shared" si="16"/>
        <v>283.5</v>
      </c>
    </row>
    <row r="36" spans="1:15">
      <c r="A36" s="6">
        <v>45992</v>
      </c>
      <c r="B36" s="5" t="s">
        <v>86</v>
      </c>
      <c r="C36" s="5" t="s">
        <v>221</v>
      </c>
      <c r="D36" s="5">
        <v>1347</v>
      </c>
      <c r="E36" s="5">
        <v>1345</v>
      </c>
      <c r="F36" s="5">
        <v>1017</v>
      </c>
      <c r="G36" s="5">
        <v>933</v>
      </c>
      <c r="H36" s="5">
        <f t="shared" si="12"/>
        <v>2</v>
      </c>
      <c r="I36" s="5">
        <f t="shared" si="13"/>
        <v>84</v>
      </c>
      <c r="J36" s="7">
        <f t="shared" si="14"/>
        <v>7</v>
      </c>
      <c r="K36" s="7">
        <f t="shared" si="15"/>
        <v>84</v>
      </c>
      <c r="L36" s="7">
        <v>200</v>
      </c>
      <c r="M36" s="8">
        <f t="shared" si="16"/>
        <v>291</v>
      </c>
    </row>
    <row r="37" spans="1:15">
      <c r="A37" s="6">
        <v>46023</v>
      </c>
      <c r="B37" s="5" t="s">
        <v>86</v>
      </c>
      <c r="C37" s="5" t="s">
        <v>221</v>
      </c>
      <c r="D37" s="5">
        <v>1350</v>
      </c>
      <c r="E37" s="5">
        <v>1347</v>
      </c>
      <c r="F37" s="5">
        <v>1100</v>
      </c>
      <c r="G37" s="5">
        <v>1017</v>
      </c>
      <c r="H37" s="5">
        <f t="shared" si="12"/>
        <v>3</v>
      </c>
      <c r="I37" s="5">
        <f t="shared" si="13"/>
        <v>83</v>
      </c>
      <c r="J37" s="7">
        <f t="shared" si="14"/>
        <v>10.5</v>
      </c>
      <c r="K37" s="7">
        <f t="shared" si="15"/>
        <v>83</v>
      </c>
      <c r="L37" s="7">
        <v>200</v>
      </c>
      <c r="M37" s="8">
        <f t="shared" si="16"/>
        <v>293.5</v>
      </c>
    </row>
    <row r="38" spans="1:15">
      <c r="A38" s="6">
        <v>46083</v>
      </c>
      <c r="B38" s="5" t="s">
        <v>86</v>
      </c>
      <c r="C38" s="5" t="s">
        <v>221</v>
      </c>
      <c r="D38" s="5">
        <v>1354</v>
      </c>
      <c r="E38" s="5">
        <v>1350</v>
      </c>
      <c r="F38" s="5">
        <v>1192</v>
      </c>
      <c r="G38" s="5">
        <v>1100</v>
      </c>
      <c r="H38" s="5">
        <f t="shared" si="12"/>
        <v>4</v>
      </c>
      <c r="I38" s="5">
        <f t="shared" si="13"/>
        <v>92</v>
      </c>
      <c r="J38" s="7">
        <f t="shared" si="14"/>
        <v>14</v>
      </c>
      <c r="K38" s="7">
        <f t="shared" si="15"/>
        <v>92</v>
      </c>
      <c r="L38" s="7">
        <v>350</v>
      </c>
      <c r="M38" s="8">
        <f t="shared" si="16"/>
        <v>456</v>
      </c>
      <c r="O38" s="5" t="s">
        <v>303</v>
      </c>
    </row>
    <row r="39" spans="1:15">
      <c r="A39" s="6">
        <v>46113</v>
      </c>
      <c r="B39" s="5" t="s">
        <v>86</v>
      </c>
      <c r="C39" s="5" t="s">
        <v>221</v>
      </c>
      <c r="D39" s="5">
        <v>1357</v>
      </c>
      <c r="E39" s="5">
        <v>1354</v>
      </c>
      <c r="F39" s="5">
        <v>1282</v>
      </c>
      <c r="G39" s="5">
        <v>1192</v>
      </c>
      <c r="H39" s="5">
        <f t="shared" si="12"/>
        <v>3</v>
      </c>
      <c r="I39" s="5">
        <f t="shared" si="13"/>
        <v>90</v>
      </c>
      <c r="J39" s="7">
        <f t="shared" si="14"/>
        <v>10.5</v>
      </c>
      <c r="K39" s="7">
        <f t="shared" si="15"/>
        <v>90</v>
      </c>
      <c r="L39" s="7">
        <v>200</v>
      </c>
      <c r="M39" s="8">
        <f t="shared" si="16"/>
        <v>300.5</v>
      </c>
    </row>
    <row r="40" spans="1:15">
      <c r="A40" s="3" t="s">
        <v>104</v>
      </c>
      <c r="B40" s="4" t="s">
        <v>107</v>
      </c>
      <c r="C40" s="4" t="s">
        <v>107</v>
      </c>
      <c r="D40" s="4" t="s">
        <v>107</v>
      </c>
      <c r="E40" s="4" t="s">
        <v>107</v>
      </c>
      <c r="F40" s="4" t="s">
        <v>107</v>
      </c>
      <c r="G40" s="4" t="s">
        <v>107</v>
      </c>
      <c r="H40" s="5">
        <f t="shared" ref="H40:M40" si="17">SUBTOTAL(9,H3:H39)</f>
        <v>198</v>
      </c>
      <c r="I40" s="5">
        <f t="shared" si="17"/>
        <v>2640</v>
      </c>
      <c r="J40" s="7">
        <f t="shared" si="17"/>
        <v>693</v>
      </c>
      <c r="K40" s="7">
        <f t="shared" si="17"/>
        <v>2611.3000000000002</v>
      </c>
      <c r="L40" s="7">
        <f t="shared" si="17"/>
        <v>6950</v>
      </c>
      <c r="M40" s="10">
        <f t="shared" si="17"/>
        <v>10254.299999999999</v>
      </c>
    </row>
    <row r="58" spans="6:6" ht="20">
      <c r="F58" s="1"/>
    </row>
  </sheetData>
  <mergeCells count="11">
    <mergeCell ref="O1:O2"/>
    <mergeCell ref="A1:A2"/>
    <mergeCell ref="B1:B2"/>
    <mergeCell ref="C1:C2"/>
    <mergeCell ref="J1:J2"/>
    <mergeCell ref="K1:K2"/>
    <mergeCell ref="L1:L2"/>
    <mergeCell ref="M1:M2"/>
    <mergeCell ref="D1:E1"/>
    <mergeCell ref="F1:G1"/>
    <mergeCell ref="H1:I1"/>
  </mergeCells>
  <phoneticPr fontId="1" type="noConversion"/>
  <conditionalFormatting sqref="A1:XFD1048576">
    <cfRule type="cellIs" dxfId="24" priority="1" operator="equal">
      <formula>0</formula>
    </cfRule>
  </conditionalFormatting>
  <conditionalFormatting sqref="N3:N39">
    <cfRule type="cellIs" priority="2" operator="notEqual">
      <formula>"完成"</formula>
    </cfRule>
    <cfRule type="cellIs" dxfId="23" priority="3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Q55"/>
  <sheetViews>
    <sheetView topLeftCell="C1" zoomScale="120" zoomScaleNormal="120" workbookViewId="0">
      <pane ySplit="2" topLeftCell="A8" activePane="bottomLeft" state="frozen"/>
      <selection activeCell="F38" sqref="F38"/>
      <selection pane="bottomLeft" activeCell="O32" sqref="O32"/>
    </sheetView>
  </sheetViews>
  <sheetFormatPr baseColWidth="10" defaultColWidth="10.85546875" defaultRowHeight="18"/>
  <cols>
    <col min="1" max="1" width="16.28515625" style="6" bestFit="1" customWidth="1"/>
    <col min="2" max="2" width="10.28515625" style="5" bestFit="1" customWidth="1"/>
    <col min="3" max="3" width="12" style="5" bestFit="1" customWidth="1"/>
    <col min="4" max="9" width="9.85546875" style="5" bestFit="1" customWidth="1"/>
    <col min="10" max="10" width="9.140625" style="7" bestFit="1" customWidth="1"/>
    <col min="11" max="11" width="10.28515625" style="7" bestFit="1" customWidth="1"/>
    <col min="12" max="12" width="10" style="7" bestFit="1" customWidth="1"/>
    <col min="13" max="14" width="10.28515625" style="7" bestFit="1" customWidth="1"/>
    <col min="15" max="15" width="11.85546875" style="8" bestFit="1" customWidth="1"/>
    <col min="16" max="16" width="10" style="5" bestFit="1" customWidth="1"/>
    <col min="17" max="17" width="42.7109375" style="5" bestFit="1" customWidth="1"/>
    <col min="18" max="16384" width="10.85546875" style="5"/>
  </cols>
  <sheetData>
    <row r="1" spans="1:17">
      <c r="A1" s="27" t="s">
        <v>17</v>
      </c>
      <c r="B1" s="24" t="s">
        <v>0</v>
      </c>
      <c r="C1" s="24" t="s">
        <v>18</v>
      </c>
      <c r="D1" s="24" t="s">
        <v>74</v>
      </c>
      <c r="E1" s="24"/>
      <c r="F1" s="24" t="s">
        <v>165</v>
      </c>
      <c r="G1" s="24"/>
      <c r="H1" s="24" t="s">
        <v>20</v>
      </c>
      <c r="I1" s="24"/>
      <c r="J1" s="25" t="s">
        <v>21</v>
      </c>
      <c r="K1" s="25"/>
      <c r="L1" s="25" t="s">
        <v>22</v>
      </c>
      <c r="M1" s="25" t="s">
        <v>23</v>
      </c>
      <c r="N1" s="25" t="s">
        <v>24</v>
      </c>
      <c r="O1" s="26" t="s">
        <v>25</v>
      </c>
      <c r="P1" s="4" t="s">
        <v>26</v>
      </c>
      <c r="Q1" s="24" t="s">
        <v>69</v>
      </c>
    </row>
    <row r="2" spans="1:17">
      <c r="A2" s="27"/>
      <c r="B2" s="24"/>
      <c r="C2" s="24"/>
      <c r="D2" s="4" t="s">
        <v>109</v>
      </c>
      <c r="E2" s="4" t="s">
        <v>110</v>
      </c>
      <c r="F2" s="5" t="s">
        <v>109</v>
      </c>
      <c r="G2" s="5" t="s">
        <v>110</v>
      </c>
      <c r="H2" s="5" t="s">
        <v>109</v>
      </c>
      <c r="I2" s="5" t="s">
        <v>110</v>
      </c>
      <c r="J2" s="7" t="s">
        <v>112</v>
      </c>
      <c r="K2" s="7" t="s">
        <v>113</v>
      </c>
      <c r="L2" s="25"/>
      <c r="M2" s="25"/>
      <c r="N2" s="25"/>
      <c r="O2" s="26"/>
      <c r="P2" s="4">
        <v>0</v>
      </c>
      <c r="Q2" s="24"/>
    </row>
    <row r="3" spans="1:17">
      <c r="A3" s="6">
        <v>44958</v>
      </c>
      <c r="B3" s="5" t="s">
        <v>166</v>
      </c>
      <c r="C3" s="5" t="s">
        <v>167</v>
      </c>
      <c r="D3" s="5">
        <v>0</v>
      </c>
      <c r="E3" s="5">
        <v>0</v>
      </c>
      <c r="F3" s="5">
        <v>15</v>
      </c>
      <c r="G3" s="5">
        <v>4</v>
      </c>
      <c r="H3" s="5">
        <v>3136</v>
      </c>
      <c r="I3" s="5">
        <v>2960</v>
      </c>
      <c r="J3" s="7">
        <f t="shared" ref="J3:J14" si="0">(D3-E3)+(F3-G3)</f>
        <v>11</v>
      </c>
      <c r="K3" s="7">
        <f t="shared" ref="K3:K14" si="1">H3-I3</f>
        <v>176</v>
      </c>
      <c r="L3" s="7">
        <f t="shared" ref="L3:L14" si="2">J3*3.5</f>
        <v>38.5</v>
      </c>
      <c r="M3" s="7">
        <f>K3*0.9</f>
        <v>158.4</v>
      </c>
      <c r="N3" s="7">
        <v>150</v>
      </c>
      <c r="O3" s="8">
        <f t="shared" ref="O3:O14" si="3">L3+M3+N3</f>
        <v>346.9</v>
      </c>
    </row>
    <row r="4" spans="1:17">
      <c r="A4" s="6">
        <v>44995</v>
      </c>
      <c r="B4" s="5" t="s">
        <v>166</v>
      </c>
      <c r="C4" s="5" t="s">
        <v>167</v>
      </c>
      <c r="D4" s="5">
        <v>0</v>
      </c>
      <c r="E4" s="5">
        <v>0</v>
      </c>
      <c r="F4" s="5">
        <v>18</v>
      </c>
      <c r="G4" s="5">
        <v>15</v>
      </c>
      <c r="H4" s="5">
        <v>3195</v>
      </c>
      <c r="I4" s="5">
        <v>3136</v>
      </c>
      <c r="J4" s="7">
        <f t="shared" si="0"/>
        <v>3</v>
      </c>
      <c r="K4" s="7">
        <f t="shared" si="1"/>
        <v>59</v>
      </c>
      <c r="L4" s="7">
        <f t="shared" si="2"/>
        <v>10.5</v>
      </c>
      <c r="M4" s="7">
        <f t="shared" ref="M4:M8" si="4">K4*0.9</f>
        <v>53.1</v>
      </c>
      <c r="N4" s="7">
        <v>0</v>
      </c>
      <c r="O4" s="8">
        <f t="shared" si="3"/>
        <v>63.6</v>
      </c>
      <c r="Q4" s="5" t="s">
        <v>168</v>
      </c>
    </row>
    <row r="5" spans="1:17">
      <c r="A5" s="6">
        <v>45018</v>
      </c>
      <c r="B5" s="5" t="s">
        <v>166</v>
      </c>
      <c r="C5" s="5" t="s">
        <v>169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7">
        <f t="shared" si="0"/>
        <v>0</v>
      </c>
      <c r="K5" s="7">
        <f t="shared" si="1"/>
        <v>0</v>
      </c>
      <c r="L5" s="7">
        <f t="shared" si="2"/>
        <v>0</v>
      </c>
      <c r="M5" s="7">
        <f t="shared" si="4"/>
        <v>0</v>
      </c>
      <c r="N5" s="7">
        <v>150</v>
      </c>
      <c r="O5" s="8">
        <f t="shared" si="3"/>
        <v>150</v>
      </c>
    </row>
    <row r="6" spans="1:17">
      <c r="A6" s="6">
        <v>45048</v>
      </c>
      <c r="B6" s="5" t="s">
        <v>166</v>
      </c>
      <c r="C6" s="5" t="s">
        <v>169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7">
        <f t="shared" si="0"/>
        <v>0</v>
      </c>
      <c r="K6" s="7">
        <f t="shared" si="1"/>
        <v>0</v>
      </c>
      <c r="L6" s="7">
        <f t="shared" si="2"/>
        <v>0</v>
      </c>
      <c r="M6" s="7">
        <f t="shared" si="4"/>
        <v>0</v>
      </c>
      <c r="N6" s="7">
        <v>150</v>
      </c>
      <c r="O6" s="8">
        <f t="shared" si="3"/>
        <v>150</v>
      </c>
    </row>
    <row r="7" spans="1:17">
      <c r="A7" s="6">
        <v>45079</v>
      </c>
      <c r="B7" s="5" t="s">
        <v>166</v>
      </c>
      <c r="C7" s="5" t="s">
        <v>169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7">
        <f t="shared" si="0"/>
        <v>0</v>
      </c>
      <c r="K7" s="7">
        <f t="shared" si="1"/>
        <v>0</v>
      </c>
      <c r="L7" s="7">
        <f t="shared" si="2"/>
        <v>0</v>
      </c>
      <c r="M7" s="7">
        <f t="shared" si="4"/>
        <v>0</v>
      </c>
      <c r="N7" s="7">
        <v>150</v>
      </c>
      <c r="O7" s="8">
        <f t="shared" si="3"/>
        <v>150</v>
      </c>
    </row>
    <row r="8" spans="1:17">
      <c r="A8" s="6">
        <v>45109</v>
      </c>
      <c r="B8" s="5" t="s">
        <v>166</v>
      </c>
      <c r="C8" s="5" t="s">
        <v>169</v>
      </c>
      <c r="D8" s="5">
        <v>0</v>
      </c>
      <c r="E8" s="5">
        <v>0</v>
      </c>
      <c r="F8" s="5">
        <v>22</v>
      </c>
      <c r="G8" s="5">
        <v>18</v>
      </c>
      <c r="H8" s="5">
        <v>98</v>
      </c>
      <c r="I8" s="5">
        <v>59</v>
      </c>
      <c r="J8" s="7">
        <f t="shared" si="0"/>
        <v>4</v>
      </c>
      <c r="K8" s="7">
        <f t="shared" si="1"/>
        <v>39</v>
      </c>
      <c r="L8" s="7">
        <f t="shared" si="2"/>
        <v>14</v>
      </c>
      <c r="M8" s="7">
        <f t="shared" si="4"/>
        <v>35.1</v>
      </c>
      <c r="N8" s="7">
        <v>150</v>
      </c>
      <c r="O8" s="8">
        <f t="shared" si="3"/>
        <v>199.1</v>
      </c>
      <c r="Q8" s="5" t="s">
        <v>170</v>
      </c>
    </row>
    <row r="9" spans="1:17">
      <c r="A9" s="6">
        <v>45140</v>
      </c>
      <c r="B9" s="5" t="s">
        <v>173</v>
      </c>
      <c r="C9" s="5" t="s">
        <v>90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7">
        <f t="shared" si="0"/>
        <v>0</v>
      </c>
      <c r="K9" s="7">
        <f t="shared" si="1"/>
        <v>0</v>
      </c>
      <c r="L9" s="7">
        <f t="shared" si="2"/>
        <v>0</v>
      </c>
      <c r="M9" s="7">
        <f>K9*1</f>
        <v>0</v>
      </c>
      <c r="N9" s="7">
        <v>300</v>
      </c>
      <c r="O9" s="8">
        <f t="shared" si="3"/>
        <v>300</v>
      </c>
      <c r="Q9" s="5" t="s">
        <v>175</v>
      </c>
    </row>
    <row r="10" spans="1:17">
      <c r="A10" s="6">
        <v>45200</v>
      </c>
      <c r="B10" s="5" t="s">
        <v>173</v>
      </c>
      <c r="C10" s="5" t="s">
        <v>90</v>
      </c>
      <c r="D10" s="5">
        <v>0</v>
      </c>
      <c r="E10" s="5">
        <v>0</v>
      </c>
      <c r="F10" s="5">
        <v>0</v>
      </c>
      <c r="G10" s="5">
        <v>0</v>
      </c>
      <c r="H10" s="5">
        <v>113</v>
      </c>
      <c r="I10" s="5">
        <v>98</v>
      </c>
      <c r="J10" s="7">
        <f t="shared" si="0"/>
        <v>0</v>
      </c>
      <c r="K10" s="7">
        <f t="shared" si="1"/>
        <v>15</v>
      </c>
      <c r="L10" s="7">
        <f t="shared" si="2"/>
        <v>0</v>
      </c>
      <c r="M10" s="7">
        <f t="shared" ref="M10:M15" si="5">K10*1</f>
        <v>15</v>
      </c>
      <c r="N10" s="7">
        <v>300</v>
      </c>
      <c r="O10" s="8">
        <f t="shared" si="3"/>
        <v>315</v>
      </c>
      <c r="Q10" s="5" t="s">
        <v>174</v>
      </c>
    </row>
    <row r="11" spans="1:17">
      <c r="A11" s="6">
        <v>45261</v>
      </c>
      <c r="B11" s="5" t="s">
        <v>173</v>
      </c>
      <c r="C11" s="5" t="s">
        <v>90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7">
        <f t="shared" si="0"/>
        <v>0</v>
      </c>
      <c r="K11" s="7">
        <f t="shared" si="1"/>
        <v>0</v>
      </c>
      <c r="L11" s="7">
        <f t="shared" si="2"/>
        <v>0</v>
      </c>
      <c r="M11" s="7">
        <f t="shared" si="5"/>
        <v>0</v>
      </c>
      <c r="N11" s="7">
        <v>300</v>
      </c>
      <c r="O11" s="8">
        <f t="shared" si="3"/>
        <v>300</v>
      </c>
      <c r="Q11" s="5" t="s">
        <v>176</v>
      </c>
    </row>
    <row r="12" spans="1:17">
      <c r="A12" s="6">
        <v>45323</v>
      </c>
      <c r="B12" s="5" t="s">
        <v>173</v>
      </c>
      <c r="C12" s="5" t="s">
        <v>90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7">
        <f t="shared" si="0"/>
        <v>0</v>
      </c>
      <c r="K12" s="7">
        <f t="shared" si="1"/>
        <v>0</v>
      </c>
      <c r="L12" s="7">
        <f t="shared" si="2"/>
        <v>0</v>
      </c>
      <c r="M12" s="7">
        <f t="shared" si="5"/>
        <v>0</v>
      </c>
      <c r="N12" s="7">
        <v>300</v>
      </c>
      <c r="O12" s="8">
        <f t="shared" si="3"/>
        <v>300</v>
      </c>
      <c r="Q12" s="5" t="s">
        <v>177</v>
      </c>
    </row>
    <row r="13" spans="1:17">
      <c r="A13" s="6">
        <v>45383</v>
      </c>
      <c r="B13" s="5" t="s">
        <v>173</v>
      </c>
      <c r="C13" s="5" t="s">
        <v>90</v>
      </c>
      <c r="D13" s="5">
        <v>0</v>
      </c>
      <c r="E13" s="5">
        <v>0</v>
      </c>
      <c r="F13" s="5">
        <v>0</v>
      </c>
      <c r="G13" s="5">
        <v>0</v>
      </c>
      <c r="H13" s="5">
        <v>118</v>
      </c>
      <c r="I13" s="5">
        <v>113</v>
      </c>
      <c r="J13" s="7">
        <f t="shared" si="0"/>
        <v>0</v>
      </c>
      <c r="K13" s="7">
        <f t="shared" si="1"/>
        <v>5</v>
      </c>
      <c r="L13" s="7">
        <f t="shared" si="2"/>
        <v>0</v>
      </c>
      <c r="M13" s="7">
        <f t="shared" si="5"/>
        <v>5</v>
      </c>
      <c r="N13" s="7">
        <v>300</v>
      </c>
      <c r="O13" s="8">
        <f t="shared" si="3"/>
        <v>305</v>
      </c>
      <c r="Q13" s="5" t="s">
        <v>178</v>
      </c>
    </row>
    <row r="14" spans="1:17">
      <c r="A14" s="6">
        <v>45444</v>
      </c>
      <c r="B14" s="5" t="s">
        <v>173</v>
      </c>
      <c r="C14" s="5" t="s">
        <v>90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7">
        <f t="shared" si="0"/>
        <v>0</v>
      </c>
      <c r="K14" s="7">
        <f t="shared" si="1"/>
        <v>0</v>
      </c>
      <c r="L14" s="7">
        <f t="shared" si="2"/>
        <v>0</v>
      </c>
      <c r="M14" s="7">
        <f t="shared" si="5"/>
        <v>0</v>
      </c>
      <c r="N14" s="7">
        <v>300</v>
      </c>
      <c r="O14" s="8">
        <f t="shared" si="3"/>
        <v>300</v>
      </c>
      <c r="Q14" s="5" t="s">
        <v>179</v>
      </c>
    </row>
    <row r="15" spans="1:17">
      <c r="A15" s="6">
        <v>45505</v>
      </c>
      <c r="B15" s="5" t="s">
        <v>89</v>
      </c>
      <c r="C15" s="5" t="s">
        <v>90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7">
        <f t="shared" ref="J15:J17" si="6">(D15-E15)+(F15-G15)</f>
        <v>0</v>
      </c>
      <c r="K15" s="7">
        <f t="shared" ref="K15:K17" si="7">H15-I15</f>
        <v>0</v>
      </c>
      <c r="L15" s="7">
        <f t="shared" ref="L15:L17" si="8">J15*3.5</f>
        <v>0</v>
      </c>
      <c r="M15" s="7">
        <f t="shared" si="5"/>
        <v>0</v>
      </c>
      <c r="N15" s="7">
        <v>300</v>
      </c>
      <c r="O15" s="8">
        <f t="shared" ref="O15:O32" si="9">L15+M15+N15</f>
        <v>300</v>
      </c>
      <c r="Q15" s="5" t="s">
        <v>180</v>
      </c>
    </row>
    <row r="16" spans="1:17">
      <c r="A16" s="6">
        <v>45563</v>
      </c>
      <c r="B16" s="5" t="s">
        <v>89</v>
      </c>
      <c r="C16" s="5" t="s">
        <v>90</v>
      </c>
      <c r="D16" s="5">
        <v>0</v>
      </c>
      <c r="E16" s="5">
        <v>0</v>
      </c>
      <c r="F16" s="5">
        <v>43</v>
      </c>
      <c r="G16" s="5">
        <v>22</v>
      </c>
      <c r="H16" s="5">
        <v>124</v>
      </c>
      <c r="I16" s="5">
        <v>118</v>
      </c>
      <c r="J16" s="7">
        <f t="shared" si="6"/>
        <v>21</v>
      </c>
      <c r="K16" s="7">
        <f t="shared" si="7"/>
        <v>6</v>
      </c>
      <c r="L16" s="7">
        <f t="shared" si="8"/>
        <v>73.5</v>
      </c>
      <c r="M16" s="7">
        <f t="shared" ref="M16:M17" si="10">K16*1</f>
        <v>6</v>
      </c>
      <c r="N16" s="7">
        <v>0</v>
      </c>
      <c r="O16" s="8">
        <f t="shared" si="9"/>
        <v>79.5</v>
      </c>
      <c r="Q16" s="5" t="s">
        <v>91</v>
      </c>
    </row>
    <row r="17" spans="1:17">
      <c r="A17" s="6">
        <v>45573</v>
      </c>
      <c r="B17" s="5" t="s">
        <v>89</v>
      </c>
      <c r="C17" s="5" t="s">
        <v>92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7">
        <f t="shared" si="6"/>
        <v>0</v>
      </c>
      <c r="K17" s="7">
        <f t="shared" si="7"/>
        <v>0</v>
      </c>
      <c r="L17" s="7">
        <f t="shared" si="8"/>
        <v>0</v>
      </c>
      <c r="M17" s="7">
        <f t="shared" si="10"/>
        <v>0</v>
      </c>
      <c r="N17" s="7">
        <v>200</v>
      </c>
      <c r="O17" s="8">
        <f t="shared" si="9"/>
        <v>200</v>
      </c>
      <c r="Q17" s="5" t="s">
        <v>171</v>
      </c>
    </row>
    <row r="18" spans="1:17">
      <c r="A18" s="6">
        <v>45672</v>
      </c>
      <c r="B18" s="5" t="s">
        <v>4</v>
      </c>
      <c r="C18" s="5" t="s">
        <v>48</v>
      </c>
      <c r="D18" s="5">
        <v>0</v>
      </c>
      <c r="E18" s="5">
        <v>0</v>
      </c>
      <c r="F18" s="5">
        <v>80</v>
      </c>
      <c r="G18" s="5">
        <v>78</v>
      </c>
      <c r="H18" s="5">
        <v>0</v>
      </c>
      <c r="I18" s="5">
        <v>0</v>
      </c>
      <c r="J18" s="7">
        <f t="shared" ref="J18:J32" si="11">(D18-E18)+(F18-G18)</f>
        <v>2</v>
      </c>
      <c r="K18" s="7">
        <f t="shared" ref="K18:K32" si="12">H18-I18</f>
        <v>0</v>
      </c>
      <c r="L18" s="7">
        <f t="shared" ref="L18:L32" si="13">J18*3.5</f>
        <v>7</v>
      </c>
      <c r="M18" s="7">
        <f t="shared" ref="M18:M32" si="14">K18*1</f>
        <v>0</v>
      </c>
      <c r="N18" s="7">
        <v>200</v>
      </c>
      <c r="O18" s="8">
        <f t="shared" si="9"/>
        <v>207</v>
      </c>
      <c r="Q18" s="5" t="s">
        <v>172</v>
      </c>
    </row>
    <row r="19" spans="1:17">
      <c r="A19" s="6">
        <v>45703</v>
      </c>
      <c r="B19" s="5" t="s">
        <v>4</v>
      </c>
      <c r="C19" s="5" t="s">
        <v>48</v>
      </c>
      <c r="D19" s="5">
        <v>0</v>
      </c>
      <c r="E19" s="5">
        <v>0</v>
      </c>
      <c r="F19" s="5">
        <v>82</v>
      </c>
      <c r="G19" s="5">
        <v>80</v>
      </c>
      <c r="H19" s="5">
        <v>237</v>
      </c>
      <c r="I19" s="5">
        <v>146</v>
      </c>
      <c r="J19" s="7">
        <f t="shared" si="11"/>
        <v>2</v>
      </c>
      <c r="K19" s="7">
        <f t="shared" si="12"/>
        <v>91</v>
      </c>
      <c r="L19" s="7">
        <f t="shared" si="13"/>
        <v>7</v>
      </c>
      <c r="M19" s="7">
        <f t="shared" si="14"/>
        <v>91</v>
      </c>
      <c r="N19" s="7">
        <v>200</v>
      </c>
      <c r="O19" s="8">
        <f t="shared" si="9"/>
        <v>298</v>
      </c>
    </row>
    <row r="20" spans="1:17">
      <c r="A20" s="6">
        <v>45731</v>
      </c>
      <c r="B20" s="5" t="s">
        <v>4</v>
      </c>
      <c r="C20" s="5" t="s">
        <v>48</v>
      </c>
      <c r="D20" s="5">
        <v>16</v>
      </c>
      <c r="E20" s="5">
        <v>10</v>
      </c>
      <c r="F20" s="5">
        <v>84</v>
      </c>
      <c r="G20" s="5">
        <v>82</v>
      </c>
      <c r="H20" s="5">
        <v>296</v>
      </c>
      <c r="I20" s="5">
        <v>237</v>
      </c>
      <c r="J20" s="7">
        <f t="shared" si="11"/>
        <v>8</v>
      </c>
      <c r="K20" s="7">
        <f t="shared" si="12"/>
        <v>59</v>
      </c>
      <c r="L20" s="7">
        <f t="shared" si="13"/>
        <v>28</v>
      </c>
      <c r="M20" s="7">
        <f t="shared" si="14"/>
        <v>59</v>
      </c>
      <c r="N20" s="7">
        <v>200</v>
      </c>
      <c r="O20" s="8">
        <f t="shared" si="9"/>
        <v>287</v>
      </c>
    </row>
    <row r="21" spans="1:17">
      <c r="A21" s="6">
        <v>45762</v>
      </c>
      <c r="B21" s="5" t="s">
        <v>4</v>
      </c>
      <c r="C21" s="5" t="s">
        <v>48</v>
      </c>
      <c r="D21" s="5">
        <v>0</v>
      </c>
      <c r="E21" s="5">
        <v>0</v>
      </c>
      <c r="F21" s="5">
        <v>88</v>
      </c>
      <c r="G21" s="5">
        <v>84</v>
      </c>
      <c r="H21" s="5">
        <v>360</v>
      </c>
      <c r="I21" s="5">
        <v>296</v>
      </c>
      <c r="J21" s="7">
        <f t="shared" si="11"/>
        <v>4</v>
      </c>
      <c r="K21" s="7">
        <f t="shared" si="12"/>
        <v>64</v>
      </c>
      <c r="L21" s="7">
        <f t="shared" si="13"/>
        <v>14</v>
      </c>
      <c r="M21" s="7">
        <f t="shared" si="14"/>
        <v>64</v>
      </c>
      <c r="N21" s="7">
        <v>200</v>
      </c>
      <c r="O21" s="8">
        <f t="shared" si="9"/>
        <v>278</v>
      </c>
    </row>
    <row r="22" spans="1:17">
      <c r="A22" s="6">
        <v>45792</v>
      </c>
      <c r="B22" s="5" t="s">
        <v>4</v>
      </c>
      <c r="C22" s="5" t="s">
        <v>48</v>
      </c>
      <c r="D22" s="5">
        <v>0</v>
      </c>
      <c r="E22" s="5">
        <v>0</v>
      </c>
      <c r="F22" s="5">
        <v>91</v>
      </c>
      <c r="G22" s="5">
        <v>88</v>
      </c>
      <c r="H22" s="5">
        <v>417</v>
      </c>
      <c r="I22" s="5">
        <v>360</v>
      </c>
      <c r="J22" s="7">
        <f t="shared" si="11"/>
        <v>3</v>
      </c>
      <c r="K22" s="7">
        <f t="shared" si="12"/>
        <v>57</v>
      </c>
      <c r="L22" s="7">
        <f t="shared" si="13"/>
        <v>10.5</v>
      </c>
      <c r="M22" s="7">
        <f t="shared" si="14"/>
        <v>57</v>
      </c>
      <c r="N22" s="7">
        <v>200</v>
      </c>
      <c r="O22" s="8">
        <f t="shared" si="9"/>
        <v>267.5</v>
      </c>
    </row>
    <row r="23" spans="1:17">
      <c r="A23" s="6">
        <v>45823</v>
      </c>
      <c r="B23" s="5" t="s">
        <v>4</v>
      </c>
      <c r="C23" s="5" t="s">
        <v>48</v>
      </c>
      <c r="D23" s="5">
        <v>0</v>
      </c>
      <c r="E23" s="5">
        <v>0</v>
      </c>
      <c r="F23" s="5">
        <v>94</v>
      </c>
      <c r="G23" s="5">
        <v>91</v>
      </c>
      <c r="H23" s="5">
        <v>485</v>
      </c>
      <c r="I23" s="5">
        <v>417</v>
      </c>
      <c r="J23" s="7">
        <f t="shared" si="11"/>
        <v>3</v>
      </c>
      <c r="K23" s="7">
        <f t="shared" si="12"/>
        <v>68</v>
      </c>
      <c r="L23" s="7">
        <f t="shared" si="13"/>
        <v>10.5</v>
      </c>
      <c r="M23" s="7">
        <f t="shared" si="14"/>
        <v>68</v>
      </c>
      <c r="N23" s="7">
        <v>200</v>
      </c>
      <c r="O23" s="8">
        <f t="shared" si="9"/>
        <v>278.5</v>
      </c>
    </row>
    <row r="24" spans="1:17">
      <c r="A24" s="6">
        <v>45853</v>
      </c>
      <c r="B24" s="5" t="s">
        <v>73</v>
      </c>
      <c r="C24" s="5" t="s">
        <v>48</v>
      </c>
      <c r="D24" s="5">
        <v>21</v>
      </c>
      <c r="E24" s="5">
        <v>16</v>
      </c>
      <c r="F24" s="5">
        <v>97</v>
      </c>
      <c r="G24" s="5">
        <v>91</v>
      </c>
      <c r="H24" s="5">
        <v>573</v>
      </c>
      <c r="I24" s="5">
        <v>485</v>
      </c>
      <c r="J24" s="7">
        <f t="shared" si="11"/>
        <v>11</v>
      </c>
      <c r="K24" s="7">
        <f t="shared" si="12"/>
        <v>88</v>
      </c>
      <c r="L24" s="7">
        <f t="shared" si="13"/>
        <v>38.5</v>
      </c>
      <c r="M24" s="7">
        <f t="shared" si="14"/>
        <v>88</v>
      </c>
      <c r="N24" s="7">
        <v>200</v>
      </c>
      <c r="O24" s="8">
        <f t="shared" si="9"/>
        <v>326.5</v>
      </c>
    </row>
    <row r="25" spans="1:17">
      <c r="A25" s="6">
        <v>45884</v>
      </c>
      <c r="B25" s="5" t="s">
        <v>73</v>
      </c>
      <c r="C25" s="5" t="s">
        <v>48</v>
      </c>
      <c r="D25" s="5">
        <v>24</v>
      </c>
      <c r="E25" s="5">
        <v>21</v>
      </c>
      <c r="F25" s="5">
        <v>99</v>
      </c>
      <c r="G25" s="5">
        <v>97</v>
      </c>
      <c r="H25" s="5">
        <v>651</v>
      </c>
      <c r="I25" s="5">
        <v>573</v>
      </c>
      <c r="J25" s="7">
        <f t="shared" si="11"/>
        <v>5</v>
      </c>
      <c r="K25" s="7">
        <f t="shared" si="12"/>
        <v>78</v>
      </c>
      <c r="L25" s="7">
        <f t="shared" si="13"/>
        <v>17.5</v>
      </c>
      <c r="M25" s="7">
        <f t="shared" si="14"/>
        <v>78</v>
      </c>
      <c r="N25" s="7">
        <v>200</v>
      </c>
      <c r="O25" s="8">
        <f t="shared" si="9"/>
        <v>295.5</v>
      </c>
    </row>
    <row r="26" spans="1:17">
      <c r="A26" s="6">
        <v>45915</v>
      </c>
      <c r="B26" s="5" t="s">
        <v>73</v>
      </c>
      <c r="C26" s="5" t="s">
        <v>48</v>
      </c>
      <c r="D26" s="5">
        <v>26</v>
      </c>
      <c r="E26" s="5">
        <v>24</v>
      </c>
      <c r="F26" s="5">
        <v>103</v>
      </c>
      <c r="G26" s="5">
        <v>99</v>
      </c>
      <c r="H26" s="5">
        <v>730</v>
      </c>
      <c r="I26" s="5">
        <v>651</v>
      </c>
      <c r="J26" s="7">
        <f t="shared" si="11"/>
        <v>6</v>
      </c>
      <c r="K26" s="7">
        <f t="shared" si="12"/>
        <v>79</v>
      </c>
      <c r="L26" s="7">
        <f t="shared" si="13"/>
        <v>21</v>
      </c>
      <c r="M26" s="7">
        <f t="shared" si="14"/>
        <v>79</v>
      </c>
      <c r="N26" s="7">
        <v>200</v>
      </c>
      <c r="O26" s="8">
        <f t="shared" si="9"/>
        <v>300</v>
      </c>
    </row>
    <row r="27" spans="1:17">
      <c r="A27" s="6">
        <v>45945</v>
      </c>
      <c r="B27" s="5" t="s">
        <v>73</v>
      </c>
      <c r="C27" s="5" t="s">
        <v>282</v>
      </c>
      <c r="D27" s="5">
        <v>28</v>
      </c>
      <c r="E27" s="5">
        <v>26</v>
      </c>
      <c r="F27" s="5">
        <v>105</v>
      </c>
      <c r="G27" s="5">
        <v>103</v>
      </c>
      <c r="H27" s="5">
        <v>806</v>
      </c>
      <c r="I27" s="5">
        <v>730</v>
      </c>
      <c r="J27" s="7">
        <f t="shared" si="11"/>
        <v>4</v>
      </c>
      <c r="K27" s="7">
        <f t="shared" si="12"/>
        <v>76</v>
      </c>
      <c r="L27" s="7">
        <f t="shared" si="13"/>
        <v>14</v>
      </c>
      <c r="M27" s="7">
        <f t="shared" si="14"/>
        <v>76</v>
      </c>
      <c r="N27" s="7">
        <v>200</v>
      </c>
      <c r="O27" s="8">
        <f t="shared" si="9"/>
        <v>290</v>
      </c>
    </row>
    <row r="28" spans="1:17">
      <c r="A28" s="6">
        <v>45976</v>
      </c>
      <c r="B28" s="5" t="s">
        <v>73</v>
      </c>
      <c r="C28" s="5" t="s">
        <v>282</v>
      </c>
      <c r="D28" s="5">
        <v>29</v>
      </c>
      <c r="E28" s="5">
        <v>28</v>
      </c>
      <c r="F28" s="5">
        <v>108</v>
      </c>
      <c r="G28" s="5">
        <v>105</v>
      </c>
      <c r="H28" s="5">
        <v>880</v>
      </c>
      <c r="I28" s="5">
        <v>806</v>
      </c>
      <c r="J28" s="7">
        <f t="shared" si="11"/>
        <v>4</v>
      </c>
      <c r="K28" s="7">
        <f t="shared" si="12"/>
        <v>74</v>
      </c>
      <c r="L28" s="7">
        <f t="shared" si="13"/>
        <v>14</v>
      </c>
      <c r="M28" s="7">
        <f t="shared" si="14"/>
        <v>74</v>
      </c>
      <c r="N28" s="7">
        <v>200</v>
      </c>
      <c r="O28" s="8">
        <f t="shared" si="9"/>
        <v>288</v>
      </c>
    </row>
    <row r="29" spans="1:17">
      <c r="A29" s="6">
        <v>46006</v>
      </c>
      <c r="B29" s="5" t="s">
        <v>73</v>
      </c>
      <c r="C29" s="5" t="s">
        <v>282</v>
      </c>
      <c r="D29" s="5">
        <v>30</v>
      </c>
      <c r="E29" s="5">
        <v>29</v>
      </c>
      <c r="F29" s="5">
        <v>113</v>
      </c>
      <c r="G29" s="5">
        <v>108</v>
      </c>
      <c r="H29" s="5">
        <v>941</v>
      </c>
      <c r="I29" s="5">
        <v>880</v>
      </c>
      <c r="J29" s="7">
        <f t="shared" si="11"/>
        <v>6</v>
      </c>
      <c r="K29" s="7">
        <f t="shared" si="12"/>
        <v>61</v>
      </c>
      <c r="L29" s="7">
        <f t="shared" si="13"/>
        <v>21</v>
      </c>
      <c r="M29" s="7">
        <f t="shared" si="14"/>
        <v>61</v>
      </c>
      <c r="N29" s="7">
        <v>200</v>
      </c>
      <c r="O29" s="8">
        <f t="shared" si="9"/>
        <v>282</v>
      </c>
    </row>
    <row r="30" spans="1:17">
      <c r="A30" s="6">
        <v>46037</v>
      </c>
      <c r="B30" s="5" t="s">
        <v>73</v>
      </c>
      <c r="C30" s="5" t="s">
        <v>282</v>
      </c>
      <c r="D30" s="5">
        <v>30</v>
      </c>
      <c r="E30" s="5">
        <v>30</v>
      </c>
      <c r="F30" s="5">
        <v>116</v>
      </c>
      <c r="G30" s="5">
        <v>113</v>
      </c>
      <c r="H30" s="5">
        <v>1014</v>
      </c>
      <c r="I30" s="5">
        <v>941</v>
      </c>
      <c r="J30" s="7">
        <f t="shared" si="11"/>
        <v>3</v>
      </c>
      <c r="K30" s="7">
        <f t="shared" si="12"/>
        <v>73</v>
      </c>
      <c r="L30" s="7">
        <f t="shared" si="13"/>
        <v>10.5</v>
      </c>
      <c r="M30" s="7">
        <f t="shared" si="14"/>
        <v>73</v>
      </c>
      <c r="N30" s="7">
        <v>200</v>
      </c>
      <c r="O30" s="8">
        <f t="shared" si="9"/>
        <v>283.5</v>
      </c>
    </row>
    <row r="31" spans="1:17">
      <c r="A31" s="6">
        <v>46068</v>
      </c>
      <c r="B31" s="5" t="s">
        <v>73</v>
      </c>
      <c r="C31" s="5" t="s">
        <v>282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7">
        <f t="shared" si="11"/>
        <v>0</v>
      </c>
      <c r="K31" s="7">
        <f t="shared" si="12"/>
        <v>0</v>
      </c>
      <c r="L31" s="7">
        <f t="shared" si="13"/>
        <v>0</v>
      </c>
      <c r="M31" s="7">
        <f t="shared" si="14"/>
        <v>0</v>
      </c>
      <c r="N31" s="7">
        <v>200</v>
      </c>
      <c r="O31" s="8">
        <f t="shared" si="9"/>
        <v>200</v>
      </c>
    </row>
    <row r="32" spans="1:17">
      <c r="A32" s="6">
        <v>46096</v>
      </c>
      <c r="B32" s="5" t="s">
        <v>322</v>
      </c>
      <c r="C32" s="5" t="s">
        <v>282</v>
      </c>
      <c r="D32" s="5">
        <v>31</v>
      </c>
      <c r="E32" s="5">
        <v>30</v>
      </c>
      <c r="F32" s="5">
        <v>119</v>
      </c>
      <c r="G32" s="5">
        <v>116</v>
      </c>
      <c r="H32" s="5">
        <v>1102</v>
      </c>
      <c r="I32" s="5">
        <v>1014</v>
      </c>
      <c r="J32" s="7">
        <f t="shared" si="11"/>
        <v>4</v>
      </c>
      <c r="K32" s="7">
        <f t="shared" si="12"/>
        <v>88</v>
      </c>
      <c r="L32" s="7">
        <f t="shared" si="13"/>
        <v>14</v>
      </c>
      <c r="M32" s="7">
        <f t="shared" si="14"/>
        <v>88</v>
      </c>
      <c r="N32" s="7">
        <v>200</v>
      </c>
      <c r="O32" s="8">
        <f t="shared" si="9"/>
        <v>302</v>
      </c>
    </row>
    <row r="33" spans="1:15">
      <c r="A33" s="3" t="s">
        <v>104</v>
      </c>
      <c r="B33" s="4" t="s">
        <v>107</v>
      </c>
      <c r="C33" s="4" t="s">
        <v>107</v>
      </c>
      <c r="D33" s="4" t="s">
        <v>107</v>
      </c>
      <c r="E33" s="4" t="s">
        <v>107</v>
      </c>
      <c r="F33" s="4" t="s">
        <v>107</v>
      </c>
      <c r="G33" s="4" t="s">
        <v>107</v>
      </c>
      <c r="H33" s="4" t="s">
        <v>107</v>
      </c>
      <c r="I33" s="4" t="s">
        <v>107</v>
      </c>
      <c r="J33" s="7">
        <f>SUBTOTAL(9,J3:J32)</f>
        <v>104</v>
      </c>
      <c r="K33" s="7">
        <f>SUBTOTAL(9,K3:K32)</f>
        <v>1256</v>
      </c>
      <c r="L33" s="7">
        <f>SUBTOTAL(9,L3:L32)</f>
        <v>364</v>
      </c>
      <c r="M33" s="7">
        <f>SUBTOTAL(9,M3:M32)</f>
        <v>1228.5999999999999</v>
      </c>
      <c r="N33" s="7">
        <f>SUBTOTAL(9,N3:N32)</f>
        <v>6050</v>
      </c>
      <c r="O33" s="10">
        <f t="shared" ref="O33" si="15">SUBTOTAL(9,O3:O24)</f>
        <v>5401.6</v>
      </c>
    </row>
    <row r="55" spans="6:6" ht="20">
      <c r="F55" s="1"/>
    </row>
  </sheetData>
  <mergeCells count="12">
    <mergeCell ref="Q1:Q2"/>
    <mergeCell ref="A1:A2"/>
    <mergeCell ref="B1:B2"/>
    <mergeCell ref="C1:C2"/>
    <mergeCell ref="L1:L2"/>
    <mergeCell ref="M1:M2"/>
    <mergeCell ref="N1:N2"/>
    <mergeCell ref="O1:O2"/>
    <mergeCell ref="F1:G1"/>
    <mergeCell ref="H1:I1"/>
    <mergeCell ref="J1:K1"/>
    <mergeCell ref="D1:E1"/>
  </mergeCells>
  <phoneticPr fontId="1" type="noConversion"/>
  <conditionalFormatting sqref="A1:XFD1048576">
    <cfRule type="cellIs" dxfId="22" priority="1" operator="equal">
      <formula>0</formula>
    </cfRule>
  </conditionalFormatting>
  <conditionalFormatting sqref="P3:P37">
    <cfRule type="cellIs" priority="2" operator="notEqual">
      <formula>"完成"</formula>
    </cfRule>
    <cfRule type="cellIs" dxfId="21" priority="3" operator="equal">
      <formula>"完成"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O64"/>
  <sheetViews>
    <sheetView zoomScale="120" zoomScaleNormal="12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P36" sqref="P36"/>
    </sheetView>
  </sheetViews>
  <sheetFormatPr baseColWidth="10" defaultColWidth="10.85546875" defaultRowHeight="18"/>
  <cols>
    <col min="1" max="1" width="16.85546875" style="6" bestFit="1" customWidth="1"/>
    <col min="2" max="2" width="9.8554687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1" width="9.42578125" style="7" bestFit="1" customWidth="1"/>
    <col min="12" max="12" width="9.85546875" style="7" bestFit="1" customWidth="1"/>
    <col min="13" max="13" width="12.28515625" style="8" bestFit="1" customWidth="1"/>
    <col min="14" max="14" width="9.42578125" style="5" bestFit="1" customWidth="1"/>
    <col min="15" max="15" width="46.7109375" style="5" bestFit="1" customWidth="1"/>
    <col min="16" max="16384" width="10.85546875" style="5"/>
  </cols>
  <sheetData>
    <row r="1" spans="1:15" s="4" customFormat="1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  <c r="O1" s="24" t="s">
        <v>69</v>
      </c>
    </row>
    <row r="2" spans="1:15" s="4" customFormat="1">
      <c r="A2" s="27"/>
      <c r="B2" s="24"/>
      <c r="C2" s="24"/>
      <c r="D2" s="4" t="s">
        <v>109</v>
      </c>
      <c r="E2" s="4" t="s">
        <v>110</v>
      </c>
      <c r="F2" s="4" t="s">
        <v>109</v>
      </c>
      <c r="G2" s="4" t="s">
        <v>110</v>
      </c>
      <c r="H2" s="4" t="s">
        <v>112</v>
      </c>
      <c r="I2" s="4" t="s">
        <v>113</v>
      </c>
      <c r="J2" s="25"/>
      <c r="K2" s="25"/>
      <c r="L2" s="25"/>
      <c r="M2" s="26"/>
      <c r="O2" s="24"/>
    </row>
    <row r="3" spans="1:15">
      <c r="A3" s="6">
        <v>44959</v>
      </c>
      <c r="B3" s="5" t="s">
        <v>231</v>
      </c>
      <c r="C3" s="5" t="s">
        <v>232</v>
      </c>
      <c r="D3" s="5">
        <v>837</v>
      </c>
      <c r="E3" s="5">
        <v>834</v>
      </c>
      <c r="F3" s="5">
        <v>2919</v>
      </c>
      <c r="G3" s="5">
        <v>2908</v>
      </c>
      <c r="H3" s="5">
        <f t="shared" ref="H3" si="0">D3-E3</f>
        <v>3</v>
      </c>
      <c r="I3" s="5">
        <f t="shared" ref="I3" si="1">F3-G3</f>
        <v>11</v>
      </c>
      <c r="J3" s="7">
        <f t="shared" ref="J3" si="2">H3*3.5</f>
        <v>10.5</v>
      </c>
      <c r="K3" s="7">
        <f>I3*0.9</f>
        <v>9.9</v>
      </c>
      <c r="L3" s="7">
        <v>150</v>
      </c>
      <c r="M3" s="8">
        <f t="shared" ref="M3:M17" si="3">J3+K3+L3</f>
        <v>170.4</v>
      </c>
      <c r="O3" s="5" t="s">
        <v>233</v>
      </c>
    </row>
    <row r="4" spans="1:15">
      <c r="A4" s="6">
        <v>45010</v>
      </c>
      <c r="B4" s="5" t="s">
        <v>87</v>
      </c>
      <c r="C4" s="5" t="s">
        <v>217</v>
      </c>
      <c r="D4" s="5">
        <v>0</v>
      </c>
      <c r="E4" s="5">
        <v>0</v>
      </c>
      <c r="F4" s="5">
        <v>0</v>
      </c>
      <c r="G4" s="5">
        <v>0</v>
      </c>
      <c r="H4" s="5">
        <f t="shared" ref="H4:H16" si="4">D4-E4</f>
        <v>0</v>
      </c>
      <c r="I4" s="5">
        <f t="shared" ref="I4:I16" si="5">F4-G4</f>
        <v>0</v>
      </c>
      <c r="J4" s="7">
        <f t="shared" ref="J4:J16" si="6">H4*3.5</f>
        <v>0</v>
      </c>
      <c r="K4" s="7">
        <f>I4*0.9</f>
        <v>0</v>
      </c>
      <c r="L4" s="7">
        <v>150</v>
      </c>
      <c r="M4" s="8">
        <f t="shared" si="3"/>
        <v>150</v>
      </c>
    </row>
    <row r="5" spans="1:15">
      <c r="A5" s="6">
        <v>45041</v>
      </c>
      <c r="B5" s="5" t="s">
        <v>87</v>
      </c>
      <c r="C5" s="5" t="s">
        <v>217</v>
      </c>
      <c r="D5" s="5">
        <v>838</v>
      </c>
      <c r="E5" s="5">
        <v>837</v>
      </c>
      <c r="F5" s="5">
        <v>2969</v>
      </c>
      <c r="G5" s="5">
        <v>2923</v>
      </c>
      <c r="H5" s="5">
        <f t="shared" si="4"/>
        <v>1</v>
      </c>
      <c r="I5" s="5">
        <f t="shared" si="5"/>
        <v>46</v>
      </c>
      <c r="J5" s="7">
        <f t="shared" si="6"/>
        <v>3.5</v>
      </c>
      <c r="K5" s="7">
        <f t="shared" ref="K5:K6" si="7">I5*0.9</f>
        <v>41.4</v>
      </c>
      <c r="L5" s="7">
        <v>150</v>
      </c>
      <c r="M5" s="8">
        <f t="shared" si="3"/>
        <v>194.9</v>
      </c>
    </row>
    <row r="6" spans="1:15">
      <c r="A6" s="6">
        <v>45071</v>
      </c>
      <c r="B6" s="5" t="s">
        <v>87</v>
      </c>
      <c r="C6" s="5" t="s">
        <v>217</v>
      </c>
      <c r="D6" s="5">
        <v>0</v>
      </c>
      <c r="E6" s="5">
        <v>0</v>
      </c>
      <c r="F6" s="5">
        <v>3005</v>
      </c>
      <c r="G6" s="5">
        <v>2969</v>
      </c>
      <c r="H6" s="5">
        <f t="shared" si="4"/>
        <v>0</v>
      </c>
      <c r="I6" s="5">
        <f t="shared" si="5"/>
        <v>36</v>
      </c>
      <c r="J6" s="7">
        <f t="shared" si="6"/>
        <v>0</v>
      </c>
      <c r="K6" s="7">
        <f t="shared" si="7"/>
        <v>32.4</v>
      </c>
      <c r="L6" s="7">
        <v>150</v>
      </c>
      <c r="M6" s="8">
        <f t="shared" si="3"/>
        <v>182.4</v>
      </c>
    </row>
    <row r="7" spans="1:15">
      <c r="A7" s="6">
        <v>45102</v>
      </c>
      <c r="B7" s="5" t="s">
        <v>87</v>
      </c>
      <c r="C7" s="5" t="s">
        <v>217</v>
      </c>
      <c r="D7" s="5">
        <v>0</v>
      </c>
      <c r="E7" s="5">
        <v>0</v>
      </c>
      <c r="F7" s="5">
        <v>3045</v>
      </c>
      <c r="G7" s="5">
        <v>3005</v>
      </c>
      <c r="H7" s="5">
        <f t="shared" si="4"/>
        <v>0</v>
      </c>
      <c r="I7" s="5">
        <f t="shared" si="5"/>
        <v>40</v>
      </c>
      <c r="J7" s="7">
        <f t="shared" si="6"/>
        <v>0</v>
      </c>
      <c r="K7" s="7">
        <f t="shared" ref="K7:K16" si="8">I7*1</f>
        <v>40</v>
      </c>
      <c r="L7" s="7">
        <v>150</v>
      </c>
      <c r="M7" s="8">
        <f t="shared" si="3"/>
        <v>190</v>
      </c>
    </row>
    <row r="8" spans="1:15">
      <c r="A8" s="6">
        <v>45132</v>
      </c>
      <c r="B8" s="5" t="s">
        <v>87</v>
      </c>
      <c r="C8" s="5" t="s">
        <v>217</v>
      </c>
      <c r="D8" s="5">
        <v>839</v>
      </c>
      <c r="E8" s="5">
        <v>838</v>
      </c>
      <c r="F8" s="5">
        <v>3069</v>
      </c>
      <c r="G8" s="5">
        <v>3045</v>
      </c>
      <c r="H8" s="5">
        <f t="shared" si="4"/>
        <v>1</v>
      </c>
      <c r="I8" s="5">
        <f t="shared" si="5"/>
        <v>24</v>
      </c>
      <c r="J8" s="7">
        <f t="shared" si="6"/>
        <v>3.5</v>
      </c>
      <c r="K8" s="7">
        <f t="shared" si="8"/>
        <v>24</v>
      </c>
      <c r="L8" s="7">
        <v>150</v>
      </c>
      <c r="M8" s="8">
        <f t="shared" si="3"/>
        <v>177.5</v>
      </c>
    </row>
    <row r="9" spans="1:15">
      <c r="A9" s="6">
        <v>45163</v>
      </c>
      <c r="B9" s="5" t="s">
        <v>87</v>
      </c>
      <c r="C9" s="5" t="s">
        <v>217</v>
      </c>
      <c r="D9" s="5">
        <v>0</v>
      </c>
      <c r="E9" s="5">
        <v>0</v>
      </c>
      <c r="F9" s="5">
        <v>0</v>
      </c>
      <c r="G9" s="5">
        <v>0</v>
      </c>
      <c r="H9" s="5">
        <f t="shared" si="4"/>
        <v>0</v>
      </c>
      <c r="I9" s="5">
        <f t="shared" si="5"/>
        <v>0</v>
      </c>
      <c r="J9" s="7">
        <f t="shared" si="6"/>
        <v>0</v>
      </c>
      <c r="K9" s="7">
        <f t="shared" si="8"/>
        <v>0</v>
      </c>
      <c r="L9" s="7">
        <v>150</v>
      </c>
      <c r="M9" s="8">
        <f t="shared" si="3"/>
        <v>150</v>
      </c>
    </row>
    <row r="10" spans="1:15">
      <c r="A10" s="6">
        <v>45194</v>
      </c>
      <c r="B10" s="5" t="s">
        <v>87</v>
      </c>
      <c r="C10" s="5" t="s">
        <v>217</v>
      </c>
      <c r="D10" s="5">
        <v>0</v>
      </c>
      <c r="E10" s="5">
        <v>0</v>
      </c>
      <c r="F10" s="5">
        <v>0</v>
      </c>
      <c r="G10" s="5">
        <v>0</v>
      </c>
      <c r="H10" s="5">
        <f t="shared" si="4"/>
        <v>0</v>
      </c>
      <c r="I10" s="5">
        <f t="shared" si="5"/>
        <v>0</v>
      </c>
      <c r="J10" s="7">
        <f t="shared" si="6"/>
        <v>0</v>
      </c>
      <c r="K10" s="7">
        <f t="shared" si="8"/>
        <v>0</v>
      </c>
      <c r="L10" s="7">
        <v>150</v>
      </c>
      <c r="M10" s="8">
        <f t="shared" si="3"/>
        <v>150</v>
      </c>
    </row>
    <row r="11" spans="1:15">
      <c r="A11" s="6">
        <v>45224</v>
      </c>
      <c r="B11" s="5" t="s">
        <v>87</v>
      </c>
      <c r="C11" s="5" t="s">
        <v>217</v>
      </c>
      <c r="D11" s="5">
        <v>0</v>
      </c>
      <c r="E11" s="5">
        <v>0</v>
      </c>
      <c r="F11" s="5">
        <v>0</v>
      </c>
      <c r="G11" s="5">
        <v>0</v>
      </c>
      <c r="H11" s="5">
        <f t="shared" si="4"/>
        <v>0</v>
      </c>
      <c r="I11" s="5">
        <f t="shared" si="5"/>
        <v>0</v>
      </c>
      <c r="J11" s="7">
        <f t="shared" si="6"/>
        <v>0</v>
      </c>
      <c r="K11" s="7">
        <f t="shared" si="8"/>
        <v>0</v>
      </c>
      <c r="L11" s="7">
        <v>150</v>
      </c>
      <c r="M11" s="8">
        <f t="shared" si="3"/>
        <v>150</v>
      </c>
    </row>
    <row r="12" spans="1:15">
      <c r="A12" s="6">
        <v>45255</v>
      </c>
      <c r="B12" s="5" t="s">
        <v>87</v>
      </c>
      <c r="C12" s="5" t="s">
        <v>217</v>
      </c>
      <c r="D12" s="5">
        <v>0</v>
      </c>
      <c r="E12" s="5">
        <v>0</v>
      </c>
      <c r="F12" s="5">
        <v>0</v>
      </c>
      <c r="G12" s="5">
        <v>0</v>
      </c>
      <c r="H12" s="5">
        <f t="shared" si="4"/>
        <v>0</v>
      </c>
      <c r="I12" s="5">
        <f t="shared" si="5"/>
        <v>0</v>
      </c>
      <c r="J12" s="7">
        <f t="shared" si="6"/>
        <v>0</v>
      </c>
      <c r="K12" s="7">
        <f t="shared" si="8"/>
        <v>0</v>
      </c>
      <c r="L12" s="7">
        <v>150</v>
      </c>
      <c r="M12" s="8">
        <f t="shared" si="3"/>
        <v>150</v>
      </c>
    </row>
    <row r="13" spans="1:15">
      <c r="A13" s="6">
        <v>45285</v>
      </c>
      <c r="B13" s="5" t="s">
        <v>87</v>
      </c>
      <c r="C13" s="5" t="s">
        <v>217</v>
      </c>
      <c r="D13" s="5">
        <v>0</v>
      </c>
      <c r="E13" s="5">
        <v>0</v>
      </c>
      <c r="F13" s="5">
        <v>0</v>
      </c>
      <c r="G13" s="5">
        <v>0</v>
      </c>
      <c r="H13" s="5">
        <f t="shared" si="4"/>
        <v>0</v>
      </c>
      <c r="I13" s="5">
        <f t="shared" si="5"/>
        <v>0</v>
      </c>
      <c r="J13" s="7">
        <f t="shared" si="6"/>
        <v>0</v>
      </c>
      <c r="K13" s="7">
        <f t="shared" si="8"/>
        <v>0</v>
      </c>
      <c r="L13" s="7">
        <v>150</v>
      </c>
      <c r="M13" s="8">
        <f t="shared" si="3"/>
        <v>150</v>
      </c>
    </row>
    <row r="14" spans="1:15">
      <c r="A14" s="6">
        <v>45316</v>
      </c>
      <c r="B14" s="5" t="s">
        <v>87</v>
      </c>
      <c r="C14" s="5" t="s">
        <v>217</v>
      </c>
      <c r="D14" s="5">
        <v>0</v>
      </c>
      <c r="E14" s="5">
        <v>0</v>
      </c>
      <c r="F14" s="5">
        <v>0</v>
      </c>
      <c r="G14" s="5">
        <v>0</v>
      </c>
      <c r="H14" s="5">
        <f t="shared" si="4"/>
        <v>0</v>
      </c>
      <c r="I14" s="5">
        <f t="shared" si="5"/>
        <v>0</v>
      </c>
      <c r="J14" s="7">
        <f t="shared" si="6"/>
        <v>0</v>
      </c>
      <c r="K14" s="7">
        <f t="shared" si="8"/>
        <v>0</v>
      </c>
      <c r="L14" s="7">
        <v>150</v>
      </c>
      <c r="M14" s="8">
        <f t="shared" si="3"/>
        <v>150</v>
      </c>
    </row>
    <row r="15" spans="1:15">
      <c r="A15" s="6">
        <v>45347</v>
      </c>
      <c r="B15" s="5" t="s">
        <v>87</v>
      </c>
      <c r="C15" s="5" t="s">
        <v>217</v>
      </c>
      <c r="D15" s="5">
        <v>0</v>
      </c>
      <c r="E15" s="5">
        <v>0</v>
      </c>
      <c r="F15" s="5">
        <v>0</v>
      </c>
      <c r="G15" s="5">
        <v>0</v>
      </c>
      <c r="H15" s="5">
        <f t="shared" si="4"/>
        <v>0</v>
      </c>
      <c r="I15" s="5">
        <f t="shared" si="5"/>
        <v>0</v>
      </c>
      <c r="J15" s="7">
        <f t="shared" si="6"/>
        <v>0</v>
      </c>
      <c r="K15" s="7">
        <f t="shared" si="8"/>
        <v>0</v>
      </c>
      <c r="L15" s="7">
        <v>150</v>
      </c>
      <c r="M15" s="8">
        <f t="shared" si="3"/>
        <v>150</v>
      </c>
    </row>
    <row r="16" spans="1:15">
      <c r="A16" s="6">
        <v>45376</v>
      </c>
      <c r="B16" s="5" t="s">
        <v>87</v>
      </c>
      <c r="C16" s="5" t="s">
        <v>217</v>
      </c>
      <c r="D16" s="5">
        <v>0</v>
      </c>
      <c r="E16" s="5">
        <v>0</v>
      </c>
      <c r="F16" s="5">
        <v>0</v>
      </c>
      <c r="G16" s="5">
        <v>0</v>
      </c>
      <c r="H16" s="5">
        <f t="shared" si="4"/>
        <v>0</v>
      </c>
      <c r="I16" s="5">
        <f t="shared" si="5"/>
        <v>0</v>
      </c>
      <c r="J16" s="7">
        <f t="shared" si="6"/>
        <v>0</v>
      </c>
      <c r="K16" s="7">
        <f t="shared" si="8"/>
        <v>0</v>
      </c>
      <c r="L16" s="7">
        <v>300</v>
      </c>
      <c r="M16" s="8">
        <f t="shared" si="3"/>
        <v>300</v>
      </c>
      <c r="O16" s="5" t="s">
        <v>219</v>
      </c>
    </row>
    <row r="17" spans="1:15">
      <c r="A17" s="6">
        <v>45428</v>
      </c>
      <c r="B17" s="5" t="s">
        <v>87</v>
      </c>
      <c r="C17" s="5" t="s">
        <v>217</v>
      </c>
      <c r="D17" s="5">
        <v>840</v>
      </c>
      <c r="E17" s="5">
        <v>839</v>
      </c>
      <c r="F17" s="5">
        <v>3109</v>
      </c>
      <c r="G17" s="5">
        <v>3069</v>
      </c>
      <c r="H17" s="5">
        <f t="shared" ref="H17" si="9">D17-E17</f>
        <v>1</v>
      </c>
      <c r="I17" s="5">
        <f t="shared" ref="I17" si="10">F17-G17</f>
        <v>40</v>
      </c>
      <c r="J17" s="7">
        <f t="shared" ref="J17" si="11">H17*3.5</f>
        <v>3.5</v>
      </c>
      <c r="K17" s="7">
        <f t="shared" ref="K17" si="12">I17*1</f>
        <v>40</v>
      </c>
      <c r="L17" s="7">
        <v>0</v>
      </c>
      <c r="M17" s="8">
        <f t="shared" si="3"/>
        <v>43.5</v>
      </c>
      <c r="O17" s="5" t="s">
        <v>218</v>
      </c>
    </row>
    <row r="18" spans="1:15">
      <c r="A18" s="6">
        <v>45480</v>
      </c>
      <c r="B18" s="5" t="s">
        <v>93</v>
      </c>
      <c r="C18" s="5" t="s">
        <v>94</v>
      </c>
      <c r="D18" s="5">
        <v>840</v>
      </c>
      <c r="E18" s="5">
        <v>840</v>
      </c>
      <c r="F18" s="5">
        <v>3116</v>
      </c>
      <c r="G18" s="5">
        <v>3116</v>
      </c>
      <c r="H18" s="5">
        <f t="shared" ref="H18:H28" si="13">D18-E18</f>
        <v>0</v>
      </c>
      <c r="I18" s="5">
        <f t="shared" ref="I18:I28" si="14">F18-G18</f>
        <v>0</v>
      </c>
      <c r="J18" s="7">
        <f t="shared" ref="J18:J28" si="15">H18*3.5</f>
        <v>0</v>
      </c>
      <c r="K18" s="7">
        <f t="shared" ref="K18:K28" si="16">I18*1</f>
        <v>0</v>
      </c>
      <c r="L18" s="7">
        <v>200</v>
      </c>
      <c r="M18" s="8">
        <f t="shared" ref="M18:M28" si="17">J18+K18+L18</f>
        <v>200</v>
      </c>
    </row>
    <row r="19" spans="1:15">
      <c r="A19" s="6">
        <v>45508</v>
      </c>
      <c r="B19" s="5" t="s">
        <v>93</v>
      </c>
      <c r="C19" s="5" t="s">
        <v>94</v>
      </c>
      <c r="D19" s="5">
        <v>843</v>
      </c>
      <c r="E19" s="5">
        <v>840</v>
      </c>
      <c r="F19" s="5">
        <v>3163</v>
      </c>
      <c r="G19" s="5">
        <v>3116</v>
      </c>
      <c r="H19" s="5">
        <f t="shared" ref="H19" si="18">D19-E19</f>
        <v>3</v>
      </c>
      <c r="I19" s="5">
        <f t="shared" ref="I19" si="19">F19-G19</f>
        <v>47</v>
      </c>
      <c r="J19" s="7">
        <f t="shared" ref="J19" si="20">H19*3.5</f>
        <v>10.5</v>
      </c>
      <c r="K19" s="7">
        <f t="shared" ref="K19" si="21">I19*1</f>
        <v>47</v>
      </c>
      <c r="L19" s="7">
        <v>0</v>
      </c>
      <c r="M19" s="8">
        <f t="shared" si="17"/>
        <v>57.5</v>
      </c>
      <c r="O19" s="5" t="s">
        <v>188</v>
      </c>
    </row>
    <row r="20" spans="1:15">
      <c r="A20" s="6">
        <v>45515</v>
      </c>
      <c r="B20" s="5" t="s">
        <v>87</v>
      </c>
      <c r="C20" s="5" t="s">
        <v>183</v>
      </c>
      <c r="D20" s="5">
        <v>0</v>
      </c>
      <c r="E20" s="5">
        <v>0</v>
      </c>
      <c r="F20" s="5">
        <v>0</v>
      </c>
      <c r="G20" s="5">
        <v>0</v>
      </c>
      <c r="H20" s="5">
        <f t="shared" ref="H20:H22" si="22">D20-E20</f>
        <v>0</v>
      </c>
      <c r="I20" s="5">
        <f t="shared" ref="I20:I22" si="23">F20-G20</f>
        <v>0</v>
      </c>
      <c r="J20" s="7">
        <f t="shared" ref="J20" si="24">H20*3.5</f>
        <v>0</v>
      </c>
      <c r="K20" s="7">
        <f t="shared" ref="K20" si="25">I20*1</f>
        <v>0</v>
      </c>
      <c r="L20" s="7">
        <v>200</v>
      </c>
      <c r="M20" s="8">
        <f t="shared" ref="M20" si="26">J20+K20+L20</f>
        <v>200</v>
      </c>
    </row>
    <row r="21" spans="1:15">
      <c r="A21" s="6">
        <v>45547</v>
      </c>
      <c r="B21" s="5" t="s">
        <v>87</v>
      </c>
      <c r="C21" s="5" t="s">
        <v>183</v>
      </c>
      <c r="D21" s="5">
        <v>0</v>
      </c>
      <c r="E21" s="5">
        <v>0</v>
      </c>
      <c r="F21" s="5">
        <v>0</v>
      </c>
      <c r="G21" s="5">
        <v>0</v>
      </c>
      <c r="H21" s="5">
        <f t="shared" si="22"/>
        <v>0</v>
      </c>
      <c r="I21" s="5">
        <f t="shared" si="23"/>
        <v>0</v>
      </c>
      <c r="J21" s="7">
        <f t="shared" ref="J21:J24" si="27">H21*3.5</f>
        <v>0</v>
      </c>
      <c r="K21" s="7">
        <f t="shared" ref="K21:K24" si="28">I21*1</f>
        <v>0</v>
      </c>
      <c r="L21" s="7">
        <v>230</v>
      </c>
      <c r="M21" s="8">
        <f t="shared" ref="M21:M24" si="29">J21+K21+L21</f>
        <v>230</v>
      </c>
      <c r="O21" s="5" t="s">
        <v>189</v>
      </c>
    </row>
    <row r="22" spans="1:15">
      <c r="A22" s="6">
        <v>45578</v>
      </c>
      <c r="B22" s="5" t="s">
        <v>87</v>
      </c>
      <c r="C22" s="5" t="s">
        <v>183</v>
      </c>
      <c r="D22" s="5">
        <v>0</v>
      </c>
      <c r="E22" s="5">
        <v>0</v>
      </c>
      <c r="F22" s="5">
        <v>0</v>
      </c>
      <c r="G22" s="5">
        <v>0</v>
      </c>
      <c r="H22" s="5">
        <f t="shared" si="22"/>
        <v>0</v>
      </c>
      <c r="I22" s="5">
        <f t="shared" si="23"/>
        <v>0</v>
      </c>
      <c r="J22" s="7">
        <f t="shared" si="27"/>
        <v>0</v>
      </c>
      <c r="K22" s="7">
        <f t="shared" si="28"/>
        <v>0</v>
      </c>
      <c r="L22" s="7">
        <v>240</v>
      </c>
      <c r="M22" s="8">
        <f t="shared" si="29"/>
        <v>240</v>
      </c>
      <c r="O22" s="5" t="s">
        <v>190</v>
      </c>
    </row>
    <row r="23" spans="1:15">
      <c r="A23" s="6">
        <v>45606</v>
      </c>
      <c r="B23" s="5" t="s">
        <v>87</v>
      </c>
      <c r="C23" s="5" t="s">
        <v>183</v>
      </c>
      <c r="D23" s="5">
        <v>852</v>
      </c>
      <c r="E23" s="5">
        <v>843</v>
      </c>
      <c r="F23" s="5">
        <v>3234</v>
      </c>
      <c r="G23" s="5">
        <v>3163</v>
      </c>
      <c r="H23" s="5">
        <f t="shared" ref="H23:H24" si="30">D23-E23</f>
        <v>9</v>
      </c>
      <c r="I23" s="5">
        <f t="shared" ref="I23:I24" si="31">F23-G23</f>
        <v>71</v>
      </c>
      <c r="J23" s="7">
        <f t="shared" si="27"/>
        <v>31.5</v>
      </c>
      <c r="K23" s="7">
        <f t="shared" si="28"/>
        <v>71</v>
      </c>
      <c r="L23" s="7">
        <v>129.5</v>
      </c>
      <c r="M23" s="8">
        <f t="shared" si="29"/>
        <v>232</v>
      </c>
      <c r="O23" s="5" t="s">
        <v>191</v>
      </c>
    </row>
    <row r="24" spans="1:15">
      <c r="A24" s="6">
        <v>45711</v>
      </c>
      <c r="B24" s="5" t="s">
        <v>192</v>
      </c>
      <c r="C24" s="5" t="s">
        <v>193</v>
      </c>
      <c r="D24" s="5">
        <v>0</v>
      </c>
      <c r="E24" s="5">
        <v>0</v>
      </c>
      <c r="F24" s="5">
        <v>0</v>
      </c>
      <c r="G24" s="5">
        <v>0</v>
      </c>
      <c r="H24" s="5">
        <f t="shared" si="30"/>
        <v>0</v>
      </c>
      <c r="I24" s="5">
        <f t="shared" si="31"/>
        <v>0</v>
      </c>
      <c r="J24" s="7">
        <f t="shared" si="27"/>
        <v>0</v>
      </c>
      <c r="K24" s="7">
        <f t="shared" si="28"/>
        <v>0</v>
      </c>
      <c r="L24" s="7">
        <v>200</v>
      </c>
      <c r="M24" s="8">
        <f t="shared" si="29"/>
        <v>200</v>
      </c>
      <c r="O24" s="5" t="s">
        <v>194</v>
      </c>
    </row>
    <row r="25" spans="1:15">
      <c r="A25" s="6">
        <v>45718</v>
      </c>
      <c r="B25" s="5" t="s">
        <v>5</v>
      </c>
      <c r="C25" s="5" t="s">
        <v>49</v>
      </c>
      <c r="D25" s="5">
        <v>853</v>
      </c>
      <c r="E25" s="5">
        <v>853</v>
      </c>
      <c r="F25" s="5">
        <v>16</v>
      </c>
      <c r="G25" s="5">
        <v>16</v>
      </c>
      <c r="H25" s="5">
        <f t="shared" si="13"/>
        <v>0</v>
      </c>
      <c r="I25" s="5">
        <f t="shared" si="14"/>
        <v>0</v>
      </c>
      <c r="J25" s="7">
        <f t="shared" si="15"/>
        <v>0</v>
      </c>
      <c r="K25" s="7">
        <f t="shared" si="16"/>
        <v>0</v>
      </c>
      <c r="L25" s="7">
        <v>200</v>
      </c>
      <c r="M25" s="8">
        <f t="shared" si="17"/>
        <v>200</v>
      </c>
    </row>
    <row r="26" spans="1:15">
      <c r="A26" s="6">
        <v>45748</v>
      </c>
      <c r="B26" s="5" t="s">
        <v>5</v>
      </c>
      <c r="C26" s="5" t="s">
        <v>49</v>
      </c>
      <c r="D26" s="5">
        <v>853</v>
      </c>
      <c r="E26" s="5">
        <v>853</v>
      </c>
      <c r="F26" s="5">
        <v>23</v>
      </c>
      <c r="G26" s="5">
        <v>23</v>
      </c>
      <c r="H26" s="5">
        <f t="shared" si="13"/>
        <v>0</v>
      </c>
      <c r="I26" s="5">
        <f t="shared" si="14"/>
        <v>0</v>
      </c>
      <c r="J26" s="7">
        <f t="shared" si="15"/>
        <v>0</v>
      </c>
      <c r="K26" s="7">
        <f t="shared" si="16"/>
        <v>0</v>
      </c>
      <c r="L26" s="7">
        <v>200</v>
      </c>
      <c r="M26" s="8">
        <f t="shared" si="17"/>
        <v>200</v>
      </c>
      <c r="O26" s="5" t="s">
        <v>50</v>
      </c>
    </row>
    <row r="27" spans="1:15">
      <c r="A27" s="6">
        <v>45778</v>
      </c>
      <c r="B27" s="5" t="s">
        <v>5</v>
      </c>
      <c r="C27" s="5" t="s">
        <v>49</v>
      </c>
      <c r="D27" s="5">
        <v>865</v>
      </c>
      <c r="E27" s="5">
        <v>853</v>
      </c>
      <c r="F27" s="5">
        <v>71</v>
      </c>
      <c r="G27" s="5">
        <v>23</v>
      </c>
      <c r="H27" s="5">
        <f t="shared" si="13"/>
        <v>12</v>
      </c>
      <c r="I27" s="5">
        <f t="shared" si="14"/>
        <v>48</v>
      </c>
      <c r="J27" s="7">
        <f t="shared" si="15"/>
        <v>42</v>
      </c>
      <c r="K27" s="7">
        <f t="shared" si="16"/>
        <v>48</v>
      </c>
      <c r="L27" s="7">
        <v>200</v>
      </c>
      <c r="M27" s="8">
        <f t="shared" si="17"/>
        <v>290</v>
      </c>
    </row>
    <row r="28" spans="1:15">
      <c r="A28" s="6">
        <v>45809</v>
      </c>
      <c r="B28" s="5" t="s">
        <v>5</v>
      </c>
      <c r="C28" s="5" t="s">
        <v>49</v>
      </c>
      <c r="D28" s="5">
        <v>879</v>
      </c>
      <c r="E28" s="5">
        <v>865</v>
      </c>
      <c r="F28" s="5">
        <v>108</v>
      </c>
      <c r="G28" s="5">
        <v>71</v>
      </c>
      <c r="H28" s="5">
        <f t="shared" si="13"/>
        <v>14</v>
      </c>
      <c r="I28" s="5">
        <f t="shared" si="14"/>
        <v>37</v>
      </c>
      <c r="J28" s="7">
        <f t="shared" si="15"/>
        <v>49</v>
      </c>
      <c r="K28" s="7">
        <f t="shared" si="16"/>
        <v>37</v>
      </c>
      <c r="L28" s="7">
        <v>200</v>
      </c>
      <c r="M28" s="8">
        <f t="shared" si="17"/>
        <v>286</v>
      </c>
    </row>
    <row r="29" spans="1:15">
      <c r="A29" s="6">
        <v>45839</v>
      </c>
      <c r="B29" s="5" t="s">
        <v>5</v>
      </c>
      <c r="C29" s="5" t="s">
        <v>49</v>
      </c>
      <c r="D29" s="5">
        <v>883</v>
      </c>
      <c r="E29" s="5">
        <v>879</v>
      </c>
      <c r="F29" s="5">
        <v>150</v>
      </c>
      <c r="G29" s="5">
        <v>108</v>
      </c>
      <c r="H29" s="5">
        <f t="shared" ref="H29:H36" si="32">D29-E29</f>
        <v>4</v>
      </c>
      <c r="I29" s="5">
        <f t="shared" ref="I29:I36" si="33">F29-G29</f>
        <v>42</v>
      </c>
      <c r="J29" s="7">
        <f t="shared" ref="J29:J36" si="34">H29*3.5</f>
        <v>14</v>
      </c>
      <c r="K29" s="7">
        <f t="shared" ref="K29:K36" si="35">I29*1</f>
        <v>42</v>
      </c>
      <c r="L29" s="7">
        <v>200</v>
      </c>
      <c r="M29" s="8">
        <f t="shared" ref="M29:M36" si="36">J29+K29+L29</f>
        <v>256</v>
      </c>
    </row>
    <row r="30" spans="1:15">
      <c r="A30" s="6">
        <v>45870</v>
      </c>
      <c r="B30" s="5" t="s">
        <v>87</v>
      </c>
      <c r="C30" s="5" t="s">
        <v>49</v>
      </c>
      <c r="D30" s="5">
        <v>889</v>
      </c>
      <c r="E30" s="5">
        <v>883</v>
      </c>
      <c r="F30" s="5">
        <v>192</v>
      </c>
      <c r="G30" s="5">
        <v>150</v>
      </c>
      <c r="H30" s="5">
        <f t="shared" si="32"/>
        <v>6</v>
      </c>
      <c r="I30" s="5">
        <f t="shared" si="33"/>
        <v>42</v>
      </c>
      <c r="J30" s="7">
        <f t="shared" si="34"/>
        <v>21</v>
      </c>
      <c r="K30" s="7">
        <f t="shared" si="35"/>
        <v>42</v>
      </c>
      <c r="L30" s="7">
        <v>200</v>
      </c>
      <c r="M30" s="8">
        <f t="shared" si="36"/>
        <v>263</v>
      </c>
    </row>
    <row r="31" spans="1:15">
      <c r="A31" s="6">
        <v>45901</v>
      </c>
      <c r="B31" s="5" t="s">
        <v>87</v>
      </c>
      <c r="C31" s="5" t="s">
        <v>277</v>
      </c>
      <c r="D31" s="5">
        <v>896</v>
      </c>
      <c r="E31" s="5">
        <v>889</v>
      </c>
      <c r="F31" s="5">
        <v>223</v>
      </c>
      <c r="G31" s="5">
        <v>192</v>
      </c>
      <c r="H31" s="5">
        <f t="shared" si="32"/>
        <v>7</v>
      </c>
      <c r="I31" s="5">
        <f t="shared" si="33"/>
        <v>31</v>
      </c>
      <c r="J31" s="7">
        <f t="shared" si="34"/>
        <v>24.5</v>
      </c>
      <c r="K31" s="7">
        <f t="shared" si="35"/>
        <v>31</v>
      </c>
      <c r="L31" s="7">
        <v>200</v>
      </c>
      <c r="M31" s="8">
        <f t="shared" si="36"/>
        <v>255.5</v>
      </c>
    </row>
    <row r="32" spans="1:15">
      <c r="A32" s="6">
        <v>45931</v>
      </c>
      <c r="B32" s="5" t="s">
        <v>87</v>
      </c>
      <c r="C32" s="5" t="s">
        <v>277</v>
      </c>
      <c r="D32" s="5">
        <v>903</v>
      </c>
      <c r="E32" s="5">
        <v>896</v>
      </c>
      <c r="F32" s="5">
        <v>257</v>
      </c>
      <c r="G32" s="5">
        <v>223</v>
      </c>
      <c r="H32" s="5">
        <f t="shared" si="32"/>
        <v>7</v>
      </c>
      <c r="I32" s="5">
        <f t="shared" si="33"/>
        <v>34</v>
      </c>
      <c r="J32" s="7">
        <f t="shared" si="34"/>
        <v>24.5</v>
      </c>
      <c r="K32" s="7">
        <f t="shared" si="35"/>
        <v>34</v>
      </c>
      <c r="L32" s="7">
        <v>200</v>
      </c>
      <c r="M32" s="8">
        <f t="shared" si="36"/>
        <v>258.5</v>
      </c>
    </row>
    <row r="33" spans="1:15">
      <c r="A33" s="6">
        <v>45962</v>
      </c>
      <c r="B33" s="5" t="s">
        <v>87</v>
      </c>
      <c r="C33" s="5" t="s">
        <v>277</v>
      </c>
      <c r="D33" s="5">
        <v>909</v>
      </c>
      <c r="E33" s="5">
        <v>903</v>
      </c>
      <c r="F33" s="5">
        <v>286</v>
      </c>
      <c r="G33" s="5">
        <v>257</v>
      </c>
      <c r="H33" s="5">
        <f t="shared" si="32"/>
        <v>6</v>
      </c>
      <c r="I33" s="5">
        <f t="shared" si="33"/>
        <v>29</v>
      </c>
      <c r="J33" s="7">
        <f t="shared" si="34"/>
        <v>21</v>
      </c>
      <c r="K33" s="7">
        <f t="shared" si="35"/>
        <v>29</v>
      </c>
      <c r="L33" s="7">
        <v>200</v>
      </c>
      <c r="M33" s="8">
        <f t="shared" si="36"/>
        <v>250</v>
      </c>
    </row>
    <row r="34" spans="1:15">
      <c r="A34" s="6">
        <v>45992</v>
      </c>
      <c r="B34" s="5" t="s">
        <v>87</v>
      </c>
      <c r="C34" s="5" t="s">
        <v>277</v>
      </c>
      <c r="D34" s="5">
        <v>913</v>
      </c>
      <c r="E34" s="5">
        <v>909</v>
      </c>
      <c r="F34" s="5">
        <v>326</v>
      </c>
      <c r="G34" s="5">
        <v>286</v>
      </c>
      <c r="H34" s="5">
        <f t="shared" si="32"/>
        <v>4</v>
      </c>
      <c r="I34" s="5">
        <f t="shared" si="33"/>
        <v>40</v>
      </c>
      <c r="J34" s="7">
        <f t="shared" si="34"/>
        <v>14</v>
      </c>
      <c r="K34" s="7">
        <f t="shared" si="35"/>
        <v>40</v>
      </c>
      <c r="L34" s="7">
        <v>200</v>
      </c>
      <c r="M34" s="8">
        <f t="shared" si="36"/>
        <v>254</v>
      </c>
    </row>
    <row r="35" spans="1:15">
      <c r="A35" s="6">
        <v>46023</v>
      </c>
      <c r="B35" s="5" t="s">
        <v>87</v>
      </c>
      <c r="C35" s="5" t="s">
        <v>277</v>
      </c>
      <c r="D35" s="5">
        <v>919</v>
      </c>
      <c r="E35" s="5">
        <v>913</v>
      </c>
      <c r="F35" s="5">
        <v>374</v>
      </c>
      <c r="G35" s="5">
        <v>326</v>
      </c>
      <c r="H35" s="5">
        <f t="shared" si="32"/>
        <v>6</v>
      </c>
      <c r="I35" s="5">
        <f t="shared" si="33"/>
        <v>48</v>
      </c>
      <c r="J35" s="7">
        <f t="shared" si="34"/>
        <v>21</v>
      </c>
      <c r="K35" s="7">
        <f t="shared" si="35"/>
        <v>48</v>
      </c>
      <c r="L35" s="7">
        <v>200</v>
      </c>
      <c r="M35" s="8">
        <f t="shared" si="36"/>
        <v>269</v>
      </c>
    </row>
    <row r="36" spans="1:15">
      <c r="A36" s="6">
        <v>46054</v>
      </c>
      <c r="B36" s="5" t="s">
        <v>87</v>
      </c>
      <c r="C36" s="5" t="s">
        <v>277</v>
      </c>
      <c r="D36" s="5">
        <v>925</v>
      </c>
      <c r="E36" s="5">
        <v>919</v>
      </c>
      <c r="F36" s="5">
        <v>426</v>
      </c>
      <c r="G36" s="5">
        <v>374</v>
      </c>
      <c r="H36" s="5">
        <f t="shared" si="32"/>
        <v>6</v>
      </c>
      <c r="I36" s="5">
        <f t="shared" si="33"/>
        <v>52</v>
      </c>
      <c r="J36" s="7">
        <f t="shared" si="34"/>
        <v>21</v>
      </c>
      <c r="K36" s="7">
        <f t="shared" si="35"/>
        <v>52</v>
      </c>
      <c r="L36" s="7">
        <v>400</v>
      </c>
      <c r="M36" s="8">
        <f t="shared" si="36"/>
        <v>473</v>
      </c>
      <c r="O36" s="5" t="s">
        <v>302</v>
      </c>
    </row>
    <row r="37" spans="1:15">
      <c r="A37" s="3" t="s">
        <v>108</v>
      </c>
      <c r="B37" s="4" t="s">
        <v>107</v>
      </c>
      <c r="C37" s="4" t="s">
        <v>107</v>
      </c>
      <c r="D37" s="4" t="s">
        <v>107</v>
      </c>
      <c r="E37" s="4" t="s">
        <v>107</v>
      </c>
      <c r="F37" s="4" t="s">
        <v>107</v>
      </c>
      <c r="G37" s="4" t="s">
        <v>107</v>
      </c>
      <c r="H37" s="5">
        <f t="shared" ref="H37:M37" si="37">SUBTOTAL(9,H3:H36)</f>
        <v>90</v>
      </c>
      <c r="I37" s="5">
        <f t="shared" si="37"/>
        <v>718</v>
      </c>
      <c r="J37" s="7">
        <f t="shared" si="37"/>
        <v>315</v>
      </c>
      <c r="K37" s="7">
        <f t="shared" si="37"/>
        <v>708.7</v>
      </c>
      <c r="L37" s="7">
        <f t="shared" si="37"/>
        <v>6049.5</v>
      </c>
      <c r="M37" s="10">
        <f t="shared" si="37"/>
        <v>7073.2</v>
      </c>
    </row>
    <row r="64" spans="6:6" ht="20">
      <c r="F64" s="1"/>
    </row>
  </sheetData>
  <mergeCells count="11">
    <mergeCell ref="A1:A2"/>
    <mergeCell ref="B1:B2"/>
    <mergeCell ref="C1:C2"/>
    <mergeCell ref="D1:E1"/>
    <mergeCell ref="F1:G1"/>
    <mergeCell ref="O1:O2"/>
    <mergeCell ref="H1:I1"/>
    <mergeCell ref="J1:J2"/>
    <mergeCell ref="K1:K2"/>
    <mergeCell ref="L1:L2"/>
    <mergeCell ref="M1:M2"/>
  </mergeCells>
  <phoneticPr fontId="1" type="noConversion"/>
  <conditionalFormatting sqref="A1:XFD1048576">
    <cfRule type="cellIs" dxfId="20" priority="1" operator="equal">
      <formula>0</formula>
    </cfRule>
  </conditionalFormatting>
  <conditionalFormatting sqref="N3:N40">
    <cfRule type="cellIs" priority="2" operator="notEqual">
      <formula>"完成"</formula>
    </cfRule>
    <cfRule type="cellIs" dxfId="19" priority="3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O59"/>
  <sheetViews>
    <sheetView zoomScale="120" zoomScaleNormal="120" workbookViewId="0">
      <pane ySplit="2" topLeftCell="A15" activePane="bottomLeft" state="frozen"/>
      <selection activeCell="F38" sqref="F38"/>
      <selection pane="bottomLeft" activeCell="M39" sqref="M39"/>
    </sheetView>
  </sheetViews>
  <sheetFormatPr baseColWidth="10" defaultColWidth="10.85546875" defaultRowHeight="18"/>
  <cols>
    <col min="1" max="1" width="16.85546875" style="6" bestFit="1" customWidth="1"/>
    <col min="2" max="2" width="9.8554687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1" width="9.42578125" style="7" bestFit="1" customWidth="1"/>
    <col min="12" max="12" width="9.85546875" style="7" bestFit="1" customWidth="1"/>
    <col min="13" max="13" width="12.28515625" style="8" bestFit="1" customWidth="1"/>
    <col min="14" max="14" width="9.42578125" style="5" bestFit="1" customWidth="1"/>
    <col min="15" max="15" width="55.85546875" style="20" bestFit="1" customWidth="1"/>
    <col min="16" max="16384" width="10.85546875" style="5"/>
  </cols>
  <sheetData>
    <row r="1" spans="1:15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  <c r="O1" s="24" t="s">
        <v>69</v>
      </c>
    </row>
    <row r="2" spans="1:15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100</v>
      </c>
      <c r="O2" s="24"/>
    </row>
    <row r="3" spans="1:15">
      <c r="A3" s="3">
        <v>45047</v>
      </c>
      <c r="B3" s="4" t="s">
        <v>182</v>
      </c>
      <c r="C3" s="5" t="s">
        <v>186</v>
      </c>
      <c r="D3" s="5">
        <v>0</v>
      </c>
      <c r="E3" s="5">
        <v>0</v>
      </c>
      <c r="F3" s="5">
        <v>0</v>
      </c>
      <c r="G3" s="5">
        <v>0</v>
      </c>
      <c r="H3" s="5">
        <f t="shared" ref="H3:H13" si="0">D3-E3</f>
        <v>0</v>
      </c>
      <c r="I3" s="5">
        <f t="shared" ref="I3:I13" si="1">F3-G3</f>
        <v>0</v>
      </c>
      <c r="J3" s="7">
        <f t="shared" ref="J3:J13" si="2">H3*3.5</f>
        <v>0</v>
      </c>
      <c r="K3" s="7">
        <f>I3*0.9</f>
        <v>0</v>
      </c>
      <c r="L3" s="7">
        <v>150</v>
      </c>
      <c r="M3" s="8">
        <f t="shared" ref="M3:M13" si="3">J3+K3+L3</f>
        <v>150</v>
      </c>
      <c r="N3" s="4"/>
    </row>
    <row r="4" spans="1:15">
      <c r="A4" s="3">
        <v>45078</v>
      </c>
      <c r="B4" s="4" t="s">
        <v>182</v>
      </c>
      <c r="C4" s="5" t="s">
        <v>186</v>
      </c>
      <c r="D4" s="5">
        <v>920</v>
      </c>
      <c r="E4" s="5">
        <v>906</v>
      </c>
      <c r="F4" s="5">
        <v>910</v>
      </c>
      <c r="G4" s="5">
        <v>700</v>
      </c>
      <c r="H4" s="5">
        <f t="shared" si="0"/>
        <v>14</v>
      </c>
      <c r="I4" s="5">
        <f t="shared" si="1"/>
        <v>210</v>
      </c>
      <c r="J4" s="7">
        <f t="shared" si="2"/>
        <v>49</v>
      </c>
      <c r="K4" s="7">
        <f t="shared" ref="K4:K10" si="4">I4*0.9</f>
        <v>189</v>
      </c>
      <c r="L4" s="7">
        <v>150</v>
      </c>
      <c r="M4" s="8">
        <f t="shared" si="3"/>
        <v>388</v>
      </c>
      <c r="N4" s="4"/>
    </row>
    <row r="5" spans="1:15">
      <c r="A5" s="3">
        <v>45108</v>
      </c>
      <c r="B5" s="4" t="s">
        <v>182</v>
      </c>
      <c r="C5" s="5" t="s">
        <v>186</v>
      </c>
      <c r="D5" s="5">
        <v>0</v>
      </c>
      <c r="E5" s="5">
        <v>0</v>
      </c>
      <c r="F5" s="5">
        <v>0</v>
      </c>
      <c r="G5" s="5">
        <v>0</v>
      </c>
      <c r="H5" s="5">
        <f t="shared" si="0"/>
        <v>0</v>
      </c>
      <c r="I5" s="5">
        <f t="shared" si="1"/>
        <v>0</v>
      </c>
      <c r="J5" s="7">
        <f t="shared" si="2"/>
        <v>0</v>
      </c>
      <c r="K5" s="7">
        <f t="shared" si="4"/>
        <v>0</v>
      </c>
      <c r="L5" s="7">
        <v>150</v>
      </c>
      <c r="M5" s="8">
        <f t="shared" si="3"/>
        <v>150</v>
      </c>
      <c r="N5" s="4"/>
    </row>
    <row r="6" spans="1:15">
      <c r="A6" s="3">
        <v>45139</v>
      </c>
      <c r="B6" s="4" t="s">
        <v>182</v>
      </c>
      <c r="C6" s="5" t="s">
        <v>186</v>
      </c>
      <c r="D6" s="5">
        <v>0</v>
      </c>
      <c r="E6" s="5">
        <v>0</v>
      </c>
      <c r="F6" s="5">
        <v>0</v>
      </c>
      <c r="G6" s="5">
        <v>0</v>
      </c>
      <c r="H6" s="5">
        <f t="shared" si="0"/>
        <v>0</v>
      </c>
      <c r="I6" s="5">
        <f t="shared" si="1"/>
        <v>0</v>
      </c>
      <c r="J6" s="7">
        <f t="shared" si="2"/>
        <v>0</v>
      </c>
      <c r="K6" s="7">
        <f t="shared" si="4"/>
        <v>0</v>
      </c>
      <c r="L6" s="7">
        <v>150</v>
      </c>
      <c r="M6" s="8">
        <f t="shared" si="3"/>
        <v>150</v>
      </c>
      <c r="N6" s="4"/>
    </row>
    <row r="7" spans="1:15">
      <c r="A7" s="3">
        <v>45170</v>
      </c>
      <c r="B7" s="4" t="s">
        <v>182</v>
      </c>
      <c r="C7" s="5" t="s">
        <v>186</v>
      </c>
      <c r="D7" s="5">
        <v>0</v>
      </c>
      <c r="E7" s="5">
        <v>0</v>
      </c>
      <c r="F7" s="5">
        <v>0</v>
      </c>
      <c r="G7" s="5">
        <v>0</v>
      </c>
      <c r="H7" s="5">
        <f t="shared" si="0"/>
        <v>0</v>
      </c>
      <c r="I7" s="5">
        <f t="shared" si="1"/>
        <v>0</v>
      </c>
      <c r="J7" s="7">
        <f t="shared" si="2"/>
        <v>0</v>
      </c>
      <c r="K7" s="7">
        <f t="shared" si="4"/>
        <v>0</v>
      </c>
      <c r="L7" s="7">
        <v>150</v>
      </c>
      <c r="M7" s="8">
        <f t="shared" si="3"/>
        <v>150</v>
      </c>
      <c r="N7" s="4"/>
    </row>
    <row r="8" spans="1:15">
      <c r="A8" s="3">
        <v>45200</v>
      </c>
      <c r="B8" s="4" t="s">
        <v>182</v>
      </c>
      <c r="C8" s="5" t="s">
        <v>186</v>
      </c>
      <c r="D8" s="5">
        <v>0</v>
      </c>
      <c r="E8" s="5">
        <v>0</v>
      </c>
      <c r="F8" s="5">
        <v>0</v>
      </c>
      <c r="G8" s="5">
        <v>0</v>
      </c>
      <c r="H8" s="5">
        <f t="shared" si="0"/>
        <v>0</v>
      </c>
      <c r="I8" s="5">
        <f t="shared" si="1"/>
        <v>0</v>
      </c>
      <c r="J8" s="7">
        <f t="shared" si="2"/>
        <v>0</v>
      </c>
      <c r="K8" s="7">
        <f t="shared" si="4"/>
        <v>0</v>
      </c>
      <c r="L8" s="7">
        <v>150</v>
      </c>
      <c r="M8" s="8">
        <f t="shared" si="3"/>
        <v>150</v>
      </c>
      <c r="N8" s="4"/>
    </row>
    <row r="9" spans="1:15">
      <c r="A9" s="3">
        <v>45231</v>
      </c>
      <c r="B9" s="4" t="s">
        <v>182</v>
      </c>
      <c r="C9" s="5" t="s">
        <v>186</v>
      </c>
      <c r="D9" s="5">
        <v>0</v>
      </c>
      <c r="E9" s="5">
        <v>0</v>
      </c>
      <c r="F9" s="5">
        <v>0</v>
      </c>
      <c r="G9" s="5">
        <v>0</v>
      </c>
      <c r="H9" s="5">
        <f t="shared" si="0"/>
        <v>0</v>
      </c>
      <c r="I9" s="5">
        <f t="shared" si="1"/>
        <v>0</v>
      </c>
      <c r="J9" s="7">
        <f t="shared" si="2"/>
        <v>0</v>
      </c>
      <c r="K9" s="7">
        <f t="shared" si="4"/>
        <v>0</v>
      </c>
      <c r="L9" s="7">
        <v>150</v>
      </c>
      <c r="M9" s="8">
        <f t="shared" si="3"/>
        <v>150</v>
      </c>
      <c r="N9" s="4"/>
    </row>
    <row r="10" spans="1:15">
      <c r="A10" s="3">
        <v>45261</v>
      </c>
      <c r="B10" s="4" t="s">
        <v>182</v>
      </c>
      <c r="C10" s="5" t="s">
        <v>186</v>
      </c>
      <c r="D10" s="5">
        <v>0</v>
      </c>
      <c r="E10" s="5">
        <v>0</v>
      </c>
      <c r="F10" s="5">
        <v>0</v>
      </c>
      <c r="G10" s="5">
        <v>0</v>
      </c>
      <c r="H10" s="5">
        <f t="shared" si="0"/>
        <v>0</v>
      </c>
      <c r="I10" s="5">
        <f t="shared" si="1"/>
        <v>0</v>
      </c>
      <c r="J10" s="7">
        <f t="shared" si="2"/>
        <v>0</v>
      </c>
      <c r="K10" s="7">
        <f t="shared" si="4"/>
        <v>0</v>
      </c>
      <c r="L10" s="7">
        <v>150</v>
      </c>
      <c r="M10" s="8">
        <f t="shared" si="3"/>
        <v>150</v>
      </c>
      <c r="N10" s="4"/>
    </row>
    <row r="11" spans="1:15">
      <c r="A11" s="3">
        <v>45292</v>
      </c>
      <c r="B11" s="4" t="s">
        <v>182</v>
      </c>
      <c r="C11" s="5" t="s">
        <v>186</v>
      </c>
      <c r="D11" s="5">
        <v>0</v>
      </c>
      <c r="E11" s="5">
        <v>0</v>
      </c>
      <c r="F11" s="5">
        <v>0</v>
      </c>
      <c r="G11" s="5">
        <v>0</v>
      </c>
      <c r="H11" s="5">
        <f t="shared" si="0"/>
        <v>0</v>
      </c>
      <c r="I11" s="5">
        <f t="shared" si="1"/>
        <v>0</v>
      </c>
      <c r="J11" s="7">
        <f t="shared" si="2"/>
        <v>0</v>
      </c>
      <c r="K11" s="7">
        <f t="shared" ref="K11:K13" si="5">I11*1</f>
        <v>0</v>
      </c>
      <c r="L11" s="7">
        <v>150</v>
      </c>
      <c r="M11" s="8">
        <f t="shared" si="3"/>
        <v>150</v>
      </c>
      <c r="N11" s="4"/>
    </row>
    <row r="12" spans="1:15">
      <c r="A12" s="3">
        <v>45323</v>
      </c>
      <c r="B12" s="4" t="s">
        <v>182</v>
      </c>
      <c r="C12" s="5" t="s">
        <v>186</v>
      </c>
      <c r="D12" s="5">
        <v>0</v>
      </c>
      <c r="E12" s="5">
        <v>0</v>
      </c>
      <c r="F12" s="5">
        <v>0</v>
      </c>
      <c r="G12" s="5">
        <v>0</v>
      </c>
      <c r="H12" s="5">
        <f t="shared" si="0"/>
        <v>0</v>
      </c>
      <c r="I12" s="5">
        <f t="shared" si="1"/>
        <v>0</v>
      </c>
      <c r="J12" s="7">
        <f t="shared" si="2"/>
        <v>0</v>
      </c>
      <c r="K12" s="7">
        <f t="shared" si="5"/>
        <v>0</v>
      </c>
      <c r="L12" s="7">
        <v>150</v>
      </c>
      <c r="M12" s="8">
        <f t="shared" si="3"/>
        <v>150</v>
      </c>
      <c r="N12" s="4"/>
    </row>
    <row r="13" spans="1:15">
      <c r="A13" s="3">
        <v>45352</v>
      </c>
      <c r="B13" s="4" t="s">
        <v>182</v>
      </c>
      <c r="C13" s="5" t="s">
        <v>186</v>
      </c>
      <c r="D13" s="5">
        <v>0</v>
      </c>
      <c r="E13" s="5">
        <v>0</v>
      </c>
      <c r="F13" s="5">
        <v>950</v>
      </c>
      <c r="G13" s="5">
        <v>910</v>
      </c>
      <c r="H13" s="5">
        <f t="shared" si="0"/>
        <v>0</v>
      </c>
      <c r="I13" s="5">
        <f t="shared" si="1"/>
        <v>40</v>
      </c>
      <c r="J13" s="7">
        <f t="shared" si="2"/>
        <v>0</v>
      </c>
      <c r="K13" s="7">
        <f t="shared" si="5"/>
        <v>40</v>
      </c>
      <c r="L13" s="7">
        <v>150</v>
      </c>
      <c r="M13" s="8">
        <f t="shared" si="3"/>
        <v>190</v>
      </c>
      <c r="N13" s="4"/>
      <c r="O13" s="20" t="s">
        <v>187</v>
      </c>
    </row>
    <row r="14" spans="1:15">
      <c r="A14" s="6">
        <v>45387</v>
      </c>
      <c r="B14" s="5" t="s">
        <v>182</v>
      </c>
      <c r="C14" s="5" t="s">
        <v>183</v>
      </c>
      <c r="D14" s="5">
        <v>0</v>
      </c>
      <c r="E14" s="5">
        <v>0</v>
      </c>
      <c r="F14" s="5">
        <v>0</v>
      </c>
      <c r="G14" s="5">
        <v>0</v>
      </c>
      <c r="H14" s="5">
        <f t="shared" ref="H14" si="6">D14-E14</f>
        <v>0</v>
      </c>
      <c r="I14" s="5">
        <f t="shared" ref="I14" si="7">F14-G14</f>
        <v>0</v>
      </c>
      <c r="J14" s="7">
        <f t="shared" ref="J14" si="8">H14*3.5</f>
        <v>0</v>
      </c>
      <c r="K14" s="7">
        <f t="shared" ref="K14" si="9">I14*1</f>
        <v>0</v>
      </c>
      <c r="L14" s="7">
        <v>150</v>
      </c>
      <c r="M14" s="8">
        <f t="shared" ref="M14:M15" si="10">J14+K14+L14</f>
        <v>150</v>
      </c>
    </row>
    <row r="15" spans="1:15">
      <c r="A15" s="6">
        <v>45417</v>
      </c>
      <c r="B15" s="5" t="s">
        <v>182</v>
      </c>
      <c r="C15" s="5" t="s">
        <v>183</v>
      </c>
      <c r="D15" s="5">
        <v>923</v>
      </c>
      <c r="E15" s="5">
        <v>920</v>
      </c>
      <c r="F15" s="5">
        <v>975</v>
      </c>
      <c r="G15" s="5">
        <v>950</v>
      </c>
      <c r="H15" s="5">
        <f t="shared" ref="H15" si="11">D15-E15</f>
        <v>3</v>
      </c>
      <c r="I15" s="5">
        <f t="shared" ref="I15" si="12">F15-G15</f>
        <v>25</v>
      </c>
      <c r="J15" s="7">
        <f t="shared" ref="J15" si="13">H15*3.5</f>
        <v>10.5</v>
      </c>
      <c r="K15" s="7">
        <f t="shared" ref="K15" si="14">I15*1</f>
        <v>25</v>
      </c>
      <c r="L15" s="7">
        <v>150</v>
      </c>
      <c r="M15" s="8">
        <f t="shared" si="10"/>
        <v>185.5</v>
      </c>
    </row>
    <row r="16" spans="1:15">
      <c r="A16" s="6">
        <v>45425</v>
      </c>
      <c r="B16" s="5" t="s">
        <v>182</v>
      </c>
      <c r="C16" s="5" t="s">
        <v>183</v>
      </c>
      <c r="D16" s="5">
        <v>924</v>
      </c>
      <c r="E16" s="5">
        <v>923</v>
      </c>
      <c r="F16" s="5">
        <v>981</v>
      </c>
      <c r="G16" s="5">
        <v>975</v>
      </c>
      <c r="H16" s="5">
        <f t="shared" ref="H16" si="15">D16-E16</f>
        <v>1</v>
      </c>
      <c r="I16" s="5">
        <f t="shared" ref="I16" si="16">F16-G16</f>
        <v>6</v>
      </c>
      <c r="J16" s="7">
        <f t="shared" ref="J16" si="17">H16*3.5</f>
        <v>3.5</v>
      </c>
      <c r="K16" s="7">
        <f t="shared" ref="K16" si="18">I16*1</f>
        <v>6</v>
      </c>
      <c r="L16" s="7">
        <v>50.5</v>
      </c>
      <c r="M16" s="8">
        <f t="shared" ref="M16" si="19">J16+K16+L16</f>
        <v>60</v>
      </c>
      <c r="O16" s="20" t="s">
        <v>184</v>
      </c>
    </row>
    <row r="17" spans="1:15">
      <c r="A17" s="6">
        <v>45429</v>
      </c>
      <c r="B17" s="5" t="s">
        <v>6</v>
      </c>
      <c r="C17" s="5" t="s">
        <v>51</v>
      </c>
      <c r="D17" s="5">
        <v>924</v>
      </c>
      <c r="E17" s="5">
        <v>924</v>
      </c>
      <c r="F17" s="5">
        <v>983</v>
      </c>
      <c r="G17" s="5">
        <v>983</v>
      </c>
      <c r="H17" s="5">
        <f t="shared" ref="H17:H26" si="20">D17-E17</f>
        <v>0</v>
      </c>
      <c r="I17" s="5">
        <f t="shared" ref="I17:I26" si="21">F17-G17</f>
        <v>0</v>
      </c>
      <c r="J17" s="7">
        <f t="shared" ref="J17:J26" si="22">H17*3.5</f>
        <v>0</v>
      </c>
      <c r="K17" s="7">
        <f t="shared" ref="K17:K26" si="23">I17*1</f>
        <v>0</v>
      </c>
      <c r="L17" s="7">
        <v>150</v>
      </c>
      <c r="M17" s="8">
        <f t="shared" ref="M17:M27" si="24">J17+K17+L17</f>
        <v>150</v>
      </c>
    </row>
    <row r="18" spans="1:15">
      <c r="A18" s="6">
        <v>45460</v>
      </c>
      <c r="B18" s="5" t="s">
        <v>6</v>
      </c>
      <c r="C18" s="5" t="s">
        <v>51</v>
      </c>
      <c r="D18" s="5">
        <v>928</v>
      </c>
      <c r="E18" s="5">
        <v>924</v>
      </c>
      <c r="F18" s="5">
        <v>1037</v>
      </c>
      <c r="G18" s="5">
        <v>983</v>
      </c>
      <c r="H18" s="5">
        <f t="shared" si="20"/>
        <v>4</v>
      </c>
      <c r="I18" s="5">
        <f t="shared" si="21"/>
        <v>54</v>
      </c>
      <c r="J18" s="7">
        <f t="shared" si="22"/>
        <v>14</v>
      </c>
      <c r="K18" s="7">
        <f t="shared" si="23"/>
        <v>54</v>
      </c>
      <c r="L18" s="7">
        <v>150</v>
      </c>
      <c r="M18" s="8">
        <f t="shared" si="24"/>
        <v>218</v>
      </c>
    </row>
    <row r="19" spans="1:15">
      <c r="A19" s="6">
        <v>45490</v>
      </c>
      <c r="B19" s="5" t="s">
        <v>6</v>
      </c>
      <c r="C19" s="5" t="s">
        <v>51</v>
      </c>
      <c r="D19" s="5">
        <v>930</v>
      </c>
      <c r="E19" s="5">
        <v>928</v>
      </c>
      <c r="F19" s="5">
        <v>1067</v>
      </c>
      <c r="G19" s="5">
        <v>1037</v>
      </c>
      <c r="H19" s="5">
        <f t="shared" si="20"/>
        <v>2</v>
      </c>
      <c r="I19" s="5">
        <f t="shared" si="21"/>
        <v>30</v>
      </c>
      <c r="J19" s="7">
        <f t="shared" si="22"/>
        <v>7</v>
      </c>
      <c r="K19" s="7">
        <f t="shared" si="23"/>
        <v>30</v>
      </c>
      <c r="L19" s="7">
        <v>150</v>
      </c>
      <c r="M19" s="8">
        <f t="shared" si="24"/>
        <v>187</v>
      </c>
    </row>
    <row r="20" spans="1:15">
      <c r="A20" s="6">
        <v>45521</v>
      </c>
      <c r="B20" s="5" t="s">
        <v>6</v>
      </c>
      <c r="C20" s="5" t="s">
        <v>51</v>
      </c>
      <c r="D20" s="5">
        <v>931</v>
      </c>
      <c r="E20" s="5">
        <v>930</v>
      </c>
      <c r="F20" s="5">
        <v>1105</v>
      </c>
      <c r="G20" s="5">
        <v>1067</v>
      </c>
      <c r="H20" s="5">
        <f t="shared" si="20"/>
        <v>1</v>
      </c>
      <c r="I20" s="5">
        <f t="shared" si="21"/>
        <v>38</v>
      </c>
      <c r="J20" s="7">
        <f t="shared" si="22"/>
        <v>3.5</v>
      </c>
      <c r="K20" s="7">
        <f t="shared" si="23"/>
        <v>38</v>
      </c>
      <c r="L20" s="7">
        <v>150</v>
      </c>
      <c r="M20" s="8">
        <f t="shared" si="24"/>
        <v>191.5</v>
      </c>
    </row>
    <row r="21" spans="1:15">
      <c r="A21" s="6">
        <v>45552</v>
      </c>
      <c r="B21" s="5" t="s">
        <v>6</v>
      </c>
      <c r="C21" s="5" t="s">
        <v>51</v>
      </c>
      <c r="D21" s="5">
        <v>934</v>
      </c>
      <c r="E21" s="5">
        <v>931</v>
      </c>
      <c r="F21" s="5">
        <v>1131</v>
      </c>
      <c r="G21" s="5">
        <v>1105</v>
      </c>
      <c r="H21" s="5">
        <f t="shared" si="20"/>
        <v>3</v>
      </c>
      <c r="I21" s="5">
        <f t="shared" si="21"/>
        <v>26</v>
      </c>
      <c r="J21" s="7">
        <f t="shared" si="22"/>
        <v>10.5</v>
      </c>
      <c r="K21" s="7">
        <f t="shared" si="23"/>
        <v>26</v>
      </c>
      <c r="L21" s="7">
        <v>150</v>
      </c>
      <c r="M21" s="8">
        <f t="shared" si="24"/>
        <v>186.5</v>
      </c>
    </row>
    <row r="22" spans="1:15">
      <c r="A22" s="6">
        <v>45582</v>
      </c>
      <c r="B22" s="5" t="s">
        <v>6</v>
      </c>
      <c r="C22" s="5" t="s">
        <v>51</v>
      </c>
      <c r="D22" s="5">
        <v>936</v>
      </c>
      <c r="E22" s="5">
        <v>934</v>
      </c>
      <c r="F22" s="5">
        <v>1151</v>
      </c>
      <c r="G22" s="5">
        <v>1131</v>
      </c>
      <c r="H22" s="5">
        <f t="shared" si="20"/>
        <v>2</v>
      </c>
      <c r="I22" s="5">
        <f t="shared" si="21"/>
        <v>20</v>
      </c>
      <c r="J22" s="7">
        <f t="shared" si="22"/>
        <v>7</v>
      </c>
      <c r="K22" s="7">
        <f t="shared" si="23"/>
        <v>20</v>
      </c>
      <c r="L22" s="7">
        <v>150</v>
      </c>
      <c r="M22" s="8">
        <f t="shared" si="24"/>
        <v>177</v>
      </c>
    </row>
    <row r="23" spans="1:15">
      <c r="A23" s="6">
        <v>45615</v>
      </c>
      <c r="B23" s="5" t="s">
        <v>6</v>
      </c>
      <c r="C23" s="5" t="s">
        <v>51</v>
      </c>
      <c r="D23" s="5">
        <v>938</v>
      </c>
      <c r="E23" s="5">
        <v>936</v>
      </c>
      <c r="F23" s="5">
        <v>1164</v>
      </c>
      <c r="G23" s="5">
        <v>1151</v>
      </c>
      <c r="H23" s="5">
        <f t="shared" si="20"/>
        <v>2</v>
      </c>
      <c r="I23" s="5">
        <f t="shared" si="21"/>
        <v>13</v>
      </c>
      <c r="J23" s="7">
        <f t="shared" si="22"/>
        <v>7</v>
      </c>
      <c r="K23" s="7">
        <f t="shared" si="23"/>
        <v>13</v>
      </c>
      <c r="L23" s="7">
        <v>150</v>
      </c>
      <c r="M23" s="8">
        <f t="shared" si="24"/>
        <v>170</v>
      </c>
    </row>
    <row r="24" spans="1:15">
      <c r="A24" s="6">
        <v>45645</v>
      </c>
      <c r="B24" s="5" t="s">
        <v>6</v>
      </c>
      <c r="C24" s="5" t="s">
        <v>51</v>
      </c>
      <c r="D24" s="5">
        <v>0</v>
      </c>
      <c r="E24" s="5">
        <v>0</v>
      </c>
      <c r="F24" s="5">
        <v>0</v>
      </c>
      <c r="G24" s="5">
        <v>0</v>
      </c>
      <c r="H24" s="5">
        <f t="shared" si="20"/>
        <v>0</v>
      </c>
      <c r="I24" s="5">
        <f t="shared" si="21"/>
        <v>0</v>
      </c>
      <c r="J24" s="7">
        <f t="shared" si="22"/>
        <v>0</v>
      </c>
      <c r="K24" s="7">
        <f t="shared" si="23"/>
        <v>0</v>
      </c>
      <c r="L24" s="7">
        <v>150</v>
      </c>
      <c r="M24" s="8">
        <f t="shared" si="24"/>
        <v>150</v>
      </c>
      <c r="O24" s="20" t="s">
        <v>52</v>
      </c>
    </row>
    <row r="25" spans="1:15">
      <c r="A25" s="6">
        <v>45658</v>
      </c>
      <c r="B25" s="5" t="s">
        <v>6</v>
      </c>
      <c r="C25" s="5" t="s">
        <v>51</v>
      </c>
      <c r="D25" s="5">
        <v>0</v>
      </c>
      <c r="E25" s="5">
        <v>0</v>
      </c>
      <c r="F25" s="5">
        <v>0</v>
      </c>
      <c r="G25" s="5">
        <v>0</v>
      </c>
      <c r="H25" s="5">
        <f t="shared" si="20"/>
        <v>0</v>
      </c>
      <c r="I25" s="5">
        <f t="shared" si="21"/>
        <v>0</v>
      </c>
      <c r="J25" s="7">
        <f t="shared" si="22"/>
        <v>0</v>
      </c>
      <c r="K25" s="7">
        <f t="shared" si="23"/>
        <v>0</v>
      </c>
      <c r="L25" s="7">
        <v>200</v>
      </c>
      <c r="M25" s="8">
        <f t="shared" si="24"/>
        <v>200</v>
      </c>
    </row>
    <row r="26" spans="1:15">
      <c r="A26" s="6">
        <v>45689</v>
      </c>
      <c r="B26" s="5" t="s">
        <v>6</v>
      </c>
      <c r="C26" s="5" t="s">
        <v>51</v>
      </c>
      <c r="D26" s="5">
        <v>0</v>
      </c>
      <c r="E26" s="5">
        <v>0</v>
      </c>
      <c r="F26" s="5">
        <v>0</v>
      </c>
      <c r="G26" s="5">
        <v>0</v>
      </c>
      <c r="H26" s="5">
        <f t="shared" si="20"/>
        <v>0</v>
      </c>
      <c r="I26" s="5">
        <f t="shared" si="21"/>
        <v>0</v>
      </c>
      <c r="J26" s="7">
        <f t="shared" si="22"/>
        <v>0</v>
      </c>
      <c r="K26" s="7">
        <f t="shared" si="23"/>
        <v>0</v>
      </c>
      <c r="L26" s="7">
        <v>200</v>
      </c>
      <c r="M26" s="8">
        <f t="shared" si="24"/>
        <v>200</v>
      </c>
    </row>
    <row r="27" spans="1:15">
      <c r="A27" s="6">
        <v>45717</v>
      </c>
      <c r="B27" s="5" t="s">
        <v>6</v>
      </c>
      <c r="C27" s="5" t="s">
        <v>51</v>
      </c>
      <c r="D27" s="5">
        <v>941</v>
      </c>
      <c r="E27" s="5">
        <v>938</v>
      </c>
      <c r="F27" s="5">
        <v>41</v>
      </c>
      <c r="G27" s="5">
        <v>0</v>
      </c>
      <c r="H27" s="5">
        <f t="shared" ref="H27:H39" si="25">D27-E27</f>
        <v>3</v>
      </c>
      <c r="I27" s="5">
        <f t="shared" ref="I27:I39" si="26">F27-G27</f>
        <v>41</v>
      </c>
      <c r="J27" s="7">
        <f t="shared" ref="J27:J39" si="27">H27*3.5</f>
        <v>10.5</v>
      </c>
      <c r="K27" s="7">
        <f t="shared" ref="K27:K39" si="28">I27*1</f>
        <v>41</v>
      </c>
      <c r="L27" s="7">
        <v>200</v>
      </c>
      <c r="M27" s="8">
        <f t="shared" si="24"/>
        <v>251.5</v>
      </c>
    </row>
    <row r="28" spans="1:15">
      <c r="A28" s="6">
        <v>45748</v>
      </c>
      <c r="B28" s="5" t="s">
        <v>6</v>
      </c>
      <c r="C28" s="5" t="s">
        <v>51</v>
      </c>
      <c r="D28" s="5">
        <v>943</v>
      </c>
      <c r="E28" s="5">
        <v>941</v>
      </c>
      <c r="F28" s="5">
        <v>77</v>
      </c>
      <c r="G28" s="5">
        <v>41</v>
      </c>
      <c r="H28" s="5">
        <f t="shared" si="25"/>
        <v>2</v>
      </c>
      <c r="I28" s="5">
        <f t="shared" si="26"/>
        <v>36</v>
      </c>
      <c r="J28" s="7">
        <f t="shared" si="27"/>
        <v>7</v>
      </c>
      <c r="K28" s="7">
        <f t="shared" si="28"/>
        <v>36</v>
      </c>
      <c r="L28" s="7">
        <v>200</v>
      </c>
      <c r="M28" s="8">
        <f t="shared" ref="M28:M39" si="29">J28+K28+L28</f>
        <v>243</v>
      </c>
    </row>
    <row r="29" spans="1:15">
      <c r="A29" s="6">
        <v>45778</v>
      </c>
      <c r="B29" s="5" t="s">
        <v>6</v>
      </c>
      <c r="C29" s="5" t="s">
        <v>51</v>
      </c>
      <c r="D29" s="5">
        <v>945</v>
      </c>
      <c r="E29" s="5">
        <v>943</v>
      </c>
      <c r="F29" s="5">
        <v>111</v>
      </c>
      <c r="G29" s="5">
        <v>77</v>
      </c>
      <c r="H29" s="5">
        <f t="shared" si="25"/>
        <v>2</v>
      </c>
      <c r="I29" s="5">
        <f t="shared" si="26"/>
        <v>34</v>
      </c>
      <c r="J29" s="7">
        <f t="shared" si="27"/>
        <v>7</v>
      </c>
      <c r="K29" s="7">
        <f t="shared" si="28"/>
        <v>34</v>
      </c>
      <c r="L29" s="7">
        <v>200</v>
      </c>
      <c r="M29" s="8">
        <f t="shared" si="29"/>
        <v>241</v>
      </c>
    </row>
    <row r="30" spans="1:15">
      <c r="A30" s="6">
        <v>45809</v>
      </c>
      <c r="B30" s="5" t="s">
        <v>6</v>
      </c>
      <c r="C30" s="5" t="s">
        <v>51</v>
      </c>
      <c r="D30" s="5">
        <v>947</v>
      </c>
      <c r="E30" s="5">
        <v>945</v>
      </c>
      <c r="F30" s="5">
        <v>147</v>
      </c>
      <c r="G30" s="5">
        <v>111</v>
      </c>
      <c r="H30" s="5">
        <f t="shared" si="25"/>
        <v>2</v>
      </c>
      <c r="I30" s="5">
        <f t="shared" si="26"/>
        <v>36</v>
      </c>
      <c r="J30" s="7">
        <f t="shared" si="27"/>
        <v>7</v>
      </c>
      <c r="K30" s="7">
        <f t="shared" si="28"/>
        <v>36</v>
      </c>
      <c r="L30" s="7">
        <v>200</v>
      </c>
      <c r="M30" s="8">
        <f t="shared" si="29"/>
        <v>243</v>
      </c>
    </row>
    <row r="31" spans="1:15">
      <c r="A31" s="6">
        <v>45839</v>
      </c>
      <c r="B31" s="5" t="s">
        <v>6</v>
      </c>
      <c r="C31" s="5" t="s">
        <v>51</v>
      </c>
      <c r="D31" s="5">
        <v>949</v>
      </c>
      <c r="E31" s="5">
        <v>947</v>
      </c>
      <c r="F31" s="5">
        <v>185</v>
      </c>
      <c r="G31" s="5">
        <v>147</v>
      </c>
      <c r="H31" s="5">
        <f t="shared" si="25"/>
        <v>2</v>
      </c>
      <c r="I31" s="5">
        <f t="shared" si="26"/>
        <v>38</v>
      </c>
      <c r="J31" s="7">
        <f t="shared" si="27"/>
        <v>7</v>
      </c>
      <c r="K31" s="7">
        <f t="shared" si="28"/>
        <v>38</v>
      </c>
      <c r="L31" s="7">
        <v>200</v>
      </c>
      <c r="M31" s="8">
        <f t="shared" si="29"/>
        <v>245</v>
      </c>
    </row>
    <row r="32" spans="1:15">
      <c r="A32" s="6">
        <v>45870</v>
      </c>
      <c r="B32" s="5" t="s">
        <v>85</v>
      </c>
      <c r="C32" s="5" t="s">
        <v>51</v>
      </c>
      <c r="D32" s="5">
        <v>951</v>
      </c>
      <c r="E32" s="5">
        <v>949</v>
      </c>
      <c r="F32" s="5">
        <v>219</v>
      </c>
      <c r="G32" s="5">
        <v>185</v>
      </c>
      <c r="H32" s="5">
        <f t="shared" si="25"/>
        <v>2</v>
      </c>
      <c r="I32" s="5">
        <f t="shared" si="26"/>
        <v>34</v>
      </c>
      <c r="J32" s="7">
        <f t="shared" si="27"/>
        <v>7</v>
      </c>
      <c r="K32" s="7">
        <f t="shared" si="28"/>
        <v>34</v>
      </c>
      <c r="L32" s="7">
        <v>200</v>
      </c>
      <c r="M32" s="8">
        <f t="shared" si="29"/>
        <v>241</v>
      </c>
    </row>
    <row r="33" spans="1:13">
      <c r="A33" s="6">
        <v>45901</v>
      </c>
      <c r="B33" s="5" t="s">
        <v>85</v>
      </c>
      <c r="C33" s="5" t="s">
        <v>274</v>
      </c>
      <c r="D33" s="5">
        <v>954</v>
      </c>
      <c r="E33" s="5">
        <v>951</v>
      </c>
      <c r="F33" s="5">
        <v>249</v>
      </c>
      <c r="G33" s="5">
        <v>219</v>
      </c>
      <c r="H33" s="5">
        <f t="shared" si="25"/>
        <v>3</v>
      </c>
      <c r="I33" s="5">
        <f t="shared" si="26"/>
        <v>30</v>
      </c>
      <c r="J33" s="7">
        <f t="shared" si="27"/>
        <v>10.5</v>
      </c>
      <c r="K33" s="7">
        <f t="shared" si="28"/>
        <v>30</v>
      </c>
      <c r="L33" s="7">
        <v>200</v>
      </c>
      <c r="M33" s="8">
        <f t="shared" si="29"/>
        <v>240.5</v>
      </c>
    </row>
    <row r="34" spans="1:13">
      <c r="A34" s="6">
        <v>45931</v>
      </c>
      <c r="B34" s="5" t="s">
        <v>85</v>
      </c>
      <c r="C34" s="5" t="s">
        <v>274</v>
      </c>
      <c r="D34" s="5">
        <v>955</v>
      </c>
      <c r="E34" s="5">
        <v>954</v>
      </c>
      <c r="F34" s="5">
        <v>280</v>
      </c>
      <c r="G34" s="5">
        <v>249</v>
      </c>
      <c r="H34" s="5">
        <f t="shared" si="25"/>
        <v>1</v>
      </c>
      <c r="I34" s="5">
        <f t="shared" si="26"/>
        <v>31</v>
      </c>
      <c r="J34" s="7">
        <f t="shared" si="27"/>
        <v>3.5</v>
      </c>
      <c r="K34" s="7">
        <f t="shared" si="28"/>
        <v>31</v>
      </c>
      <c r="L34" s="7">
        <v>200</v>
      </c>
      <c r="M34" s="8">
        <f t="shared" si="29"/>
        <v>234.5</v>
      </c>
    </row>
    <row r="35" spans="1:13">
      <c r="A35" s="6">
        <v>45962</v>
      </c>
      <c r="B35" s="5" t="s">
        <v>85</v>
      </c>
      <c r="C35" s="5" t="s">
        <v>274</v>
      </c>
      <c r="D35" s="5">
        <v>958</v>
      </c>
      <c r="E35" s="5">
        <v>955</v>
      </c>
      <c r="F35" s="5">
        <v>341</v>
      </c>
      <c r="G35" s="5">
        <v>280</v>
      </c>
      <c r="H35" s="5">
        <f t="shared" si="25"/>
        <v>3</v>
      </c>
      <c r="I35" s="5">
        <f t="shared" si="26"/>
        <v>61</v>
      </c>
      <c r="J35" s="7">
        <f t="shared" si="27"/>
        <v>10.5</v>
      </c>
      <c r="K35" s="7">
        <f t="shared" si="28"/>
        <v>61</v>
      </c>
      <c r="L35" s="7">
        <v>200</v>
      </c>
      <c r="M35" s="8">
        <f t="shared" si="29"/>
        <v>271.5</v>
      </c>
    </row>
    <row r="36" spans="1:13">
      <c r="A36" s="6">
        <v>45992</v>
      </c>
      <c r="B36" s="5" t="s">
        <v>85</v>
      </c>
      <c r="C36" s="5" t="s">
        <v>274</v>
      </c>
      <c r="D36" s="5">
        <v>964</v>
      </c>
      <c r="E36" s="5">
        <v>958</v>
      </c>
      <c r="F36" s="5">
        <v>475</v>
      </c>
      <c r="G36" s="5">
        <v>341</v>
      </c>
      <c r="H36" s="5">
        <f t="shared" si="25"/>
        <v>6</v>
      </c>
      <c r="I36" s="5">
        <f t="shared" si="26"/>
        <v>134</v>
      </c>
      <c r="J36" s="7">
        <f t="shared" si="27"/>
        <v>21</v>
      </c>
      <c r="K36" s="7">
        <f t="shared" si="28"/>
        <v>134</v>
      </c>
      <c r="L36" s="7">
        <v>200</v>
      </c>
      <c r="M36" s="8">
        <f t="shared" si="29"/>
        <v>355</v>
      </c>
    </row>
    <row r="37" spans="1:13">
      <c r="A37" s="6">
        <v>46023</v>
      </c>
      <c r="B37" s="5" t="s">
        <v>85</v>
      </c>
      <c r="C37" s="5" t="s">
        <v>274</v>
      </c>
      <c r="D37" s="5">
        <v>968</v>
      </c>
      <c r="E37" s="5">
        <v>964</v>
      </c>
      <c r="F37" s="5">
        <v>554</v>
      </c>
      <c r="G37" s="5">
        <v>475</v>
      </c>
      <c r="H37" s="5">
        <f t="shared" si="25"/>
        <v>4</v>
      </c>
      <c r="I37" s="5">
        <f t="shared" si="26"/>
        <v>79</v>
      </c>
      <c r="J37" s="7">
        <f t="shared" si="27"/>
        <v>14</v>
      </c>
      <c r="K37" s="7">
        <f t="shared" si="28"/>
        <v>79</v>
      </c>
      <c r="L37" s="7">
        <v>200</v>
      </c>
      <c r="M37" s="8">
        <f t="shared" si="29"/>
        <v>293</v>
      </c>
    </row>
    <row r="38" spans="1:13">
      <c r="A38" s="6">
        <v>46083</v>
      </c>
      <c r="B38" s="5" t="s">
        <v>85</v>
      </c>
      <c r="C38" s="5" t="s">
        <v>274</v>
      </c>
      <c r="D38" s="5">
        <v>971</v>
      </c>
      <c r="E38" s="5">
        <v>968</v>
      </c>
      <c r="F38" s="5">
        <v>620</v>
      </c>
      <c r="G38" s="5">
        <v>554</v>
      </c>
      <c r="H38" s="5">
        <f t="shared" si="25"/>
        <v>3</v>
      </c>
      <c r="I38" s="5">
        <f t="shared" si="26"/>
        <v>66</v>
      </c>
      <c r="J38" s="7">
        <f t="shared" si="27"/>
        <v>10.5</v>
      </c>
      <c r="K38" s="7">
        <f t="shared" si="28"/>
        <v>66</v>
      </c>
      <c r="L38" s="7">
        <v>400</v>
      </c>
      <c r="M38" s="8">
        <f t="shared" si="29"/>
        <v>476.5</v>
      </c>
    </row>
    <row r="39" spans="1:13">
      <c r="A39" s="6">
        <v>46113</v>
      </c>
      <c r="B39" s="5" t="s">
        <v>85</v>
      </c>
      <c r="C39" s="5" t="s">
        <v>274</v>
      </c>
      <c r="D39" s="5">
        <v>974</v>
      </c>
      <c r="E39" s="5">
        <v>971</v>
      </c>
      <c r="F39" s="5">
        <v>716</v>
      </c>
      <c r="G39" s="5">
        <v>620</v>
      </c>
      <c r="H39" s="5">
        <f t="shared" si="25"/>
        <v>3</v>
      </c>
      <c r="I39" s="5">
        <f t="shared" si="26"/>
        <v>96</v>
      </c>
      <c r="J39" s="7">
        <f t="shared" si="27"/>
        <v>10.5</v>
      </c>
      <c r="K39" s="7">
        <f t="shared" si="28"/>
        <v>96</v>
      </c>
      <c r="L39" s="7">
        <v>200</v>
      </c>
      <c r="M39" s="8">
        <f t="shared" si="29"/>
        <v>306.5</v>
      </c>
    </row>
    <row r="40" spans="1:13">
      <c r="A40" s="3" t="s">
        <v>108</v>
      </c>
      <c r="B40" s="4" t="s">
        <v>107</v>
      </c>
      <c r="C40" s="4" t="s">
        <v>107</v>
      </c>
      <c r="D40" s="4" t="s">
        <v>107</v>
      </c>
      <c r="E40" s="4" t="s">
        <v>107</v>
      </c>
      <c r="F40" s="4" t="s">
        <v>107</v>
      </c>
      <c r="G40" s="4" t="s">
        <v>107</v>
      </c>
      <c r="H40" s="5">
        <f t="shared" ref="H40:M40" si="30">SUBTOTAL(9,H3:H39)</f>
        <v>68</v>
      </c>
      <c r="I40" s="5">
        <f t="shared" si="30"/>
        <v>1178</v>
      </c>
      <c r="J40" s="7">
        <f t="shared" si="30"/>
        <v>238</v>
      </c>
      <c r="K40" s="7">
        <f t="shared" si="30"/>
        <v>1157</v>
      </c>
      <c r="L40" s="7">
        <f t="shared" si="30"/>
        <v>6400.5</v>
      </c>
      <c r="M40" s="10">
        <f t="shared" si="30"/>
        <v>7795.5</v>
      </c>
    </row>
    <row r="59" spans="6:6" ht="20">
      <c r="F59" s="1"/>
    </row>
  </sheetData>
  <mergeCells count="11">
    <mergeCell ref="A1:A2"/>
    <mergeCell ref="B1:B2"/>
    <mergeCell ref="C1:C2"/>
    <mergeCell ref="D1:E1"/>
    <mergeCell ref="F1:G1"/>
    <mergeCell ref="O1:O2"/>
    <mergeCell ref="H1:I1"/>
    <mergeCell ref="J1:J2"/>
    <mergeCell ref="K1:K2"/>
    <mergeCell ref="L1:L2"/>
    <mergeCell ref="M1:M2"/>
  </mergeCells>
  <phoneticPr fontId="1" type="noConversion"/>
  <conditionalFormatting sqref="A1:XFD1048576">
    <cfRule type="cellIs" dxfId="18" priority="1" operator="equal">
      <formula>0</formula>
    </cfRule>
  </conditionalFormatting>
  <conditionalFormatting sqref="N14:N43">
    <cfRule type="cellIs" dxfId="17" priority="3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4BB2-3699-714E-884A-1AAA7553DB21}">
  <sheetPr>
    <tabColor rgb="FF00B0F0"/>
  </sheetPr>
  <dimension ref="A1:U46"/>
  <sheetViews>
    <sheetView topLeftCell="F1" zoomScale="110" zoomScaleNormal="110" workbookViewId="0">
      <pane ySplit="2" topLeftCell="A18" activePane="bottomLeft" state="frozen"/>
      <selection activeCell="F38" sqref="F38"/>
      <selection pane="bottomLeft" activeCell="S38" sqref="S38"/>
    </sheetView>
  </sheetViews>
  <sheetFormatPr baseColWidth="10" defaultColWidth="10.85546875" defaultRowHeight="18"/>
  <cols>
    <col min="1" max="1" width="16.85546875" style="6" bestFit="1" customWidth="1"/>
    <col min="2" max="2" width="9.42578125" style="5" bestFit="1" customWidth="1"/>
    <col min="3" max="3" width="11.5703125" style="5" bestFit="1" customWidth="1"/>
    <col min="4" max="13" width="9.85546875" style="5" bestFit="1" customWidth="1"/>
    <col min="14" max="15" width="7.7109375" style="5" bestFit="1" customWidth="1"/>
    <col min="16" max="17" width="9.85546875" style="7" bestFit="1" customWidth="1"/>
    <col min="18" max="18" width="11.140625" style="7" bestFit="1" customWidth="1"/>
    <col min="19" max="19" width="13.42578125" style="8" bestFit="1" customWidth="1"/>
    <col min="20" max="20" width="9.42578125" style="5" bestFit="1" customWidth="1"/>
    <col min="21" max="21" width="27.140625" style="5" bestFit="1" customWidth="1"/>
    <col min="22" max="16384" width="10.85546875" style="5"/>
  </cols>
  <sheetData>
    <row r="1" spans="1:21">
      <c r="A1" s="27" t="s">
        <v>17</v>
      </c>
      <c r="B1" s="24" t="s">
        <v>0</v>
      </c>
      <c r="C1" s="24" t="s">
        <v>18</v>
      </c>
      <c r="D1" s="24" t="s">
        <v>70</v>
      </c>
      <c r="E1" s="24"/>
      <c r="F1" s="24" t="s">
        <v>71</v>
      </c>
      <c r="G1" s="24"/>
      <c r="H1" s="24" t="s">
        <v>72</v>
      </c>
      <c r="I1" s="24"/>
      <c r="J1" s="24" t="s">
        <v>234</v>
      </c>
      <c r="K1" s="24"/>
      <c r="L1" s="24" t="s">
        <v>235</v>
      </c>
      <c r="M1" s="24"/>
      <c r="N1" s="24" t="s">
        <v>21</v>
      </c>
      <c r="O1" s="24"/>
      <c r="P1" s="25" t="s">
        <v>22</v>
      </c>
      <c r="Q1" s="25" t="s">
        <v>23</v>
      </c>
      <c r="R1" s="25" t="s">
        <v>24</v>
      </c>
      <c r="S1" s="26" t="s">
        <v>25</v>
      </c>
      <c r="T1" s="4" t="s">
        <v>26</v>
      </c>
      <c r="U1" s="24" t="s">
        <v>27</v>
      </c>
    </row>
    <row r="2" spans="1:21">
      <c r="A2" s="27"/>
      <c r="B2" s="24"/>
      <c r="C2" s="24"/>
      <c r="D2" s="4" t="s">
        <v>109</v>
      </c>
      <c r="E2" s="4" t="s">
        <v>110</v>
      </c>
      <c r="F2" s="4" t="s">
        <v>109</v>
      </c>
      <c r="G2" s="4" t="s">
        <v>110</v>
      </c>
      <c r="H2" s="4" t="s">
        <v>109</v>
      </c>
      <c r="I2" s="4" t="s">
        <v>110</v>
      </c>
      <c r="J2" s="4" t="s">
        <v>109</v>
      </c>
      <c r="K2" s="4" t="s">
        <v>110</v>
      </c>
      <c r="L2" s="4" t="s">
        <v>109</v>
      </c>
      <c r="M2" s="4" t="s">
        <v>110</v>
      </c>
      <c r="N2" s="4" t="s">
        <v>112</v>
      </c>
      <c r="O2" s="4" t="s">
        <v>113</v>
      </c>
      <c r="P2" s="25"/>
      <c r="Q2" s="25"/>
      <c r="R2" s="25"/>
      <c r="S2" s="26"/>
      <c r="T2" s="4">
        <v>600</v>
      </c>
      <c r="U2" s="24"/>
    </row>
    <row r="3" spans="1:21">
      <c r="A3" s="6">
        <v>45056</v>
      </c>
      <c r="B3" s="5" t="s">
        <v>88</v>
      </c>
      <c r="C3" s="5" t="s">
        <v>83</v>
      </c>
      <c r="D3" s="5">
        <v>313</v>
      </c>
      <c r="E3" s="5">
        <v>307</v>
      </c>
      <c r="F3" s="5">
        <v>1230</v>
      </c>
      <c r="G3" s="5">
        <v>1219</v>
      </c>
      <c r="H3" s="5">
        <v>2299</v>
      </c>
      <c r="I3" s="5">
        <v>2282</v>
      </c>
      <c r="J3" s="5">
        <v>2754</v>
      </c>
      <c r="K3" s="5">
        <v>2746</v>
      </c>
      <c r="L3" s="5">
        <v>7201</v>
      </c>
      <c r="M3" s="5">
        <v>7047</v>
      </c>
      <c r="N3" s="5">
        <f t="shared" ref="N3:N38" si="0">(D3-E3)+(F3-G3)</f>
        <v>17</v>
      </c>
      <c r="O3" s="5">
        <f t="shared" ref="O3:O4" si="1">(H3-I3)+(J3-K3)+(L3-M3)</f>
        <v>179</v>
      </c>
      <c r="P3" s="7">
        <f t="shared" ref="P3:P38" si="2">N3*3.5</f>
        <v>59.5</v>
      </c>
      <c r="Q3" s="7">
        <f t="shared" ref="Q3:Q6" si="3">O3*0.9</f>
        <v>161.1</v>
      </c>
      <c r="R3" s="7">
        <v>800</v>
      </c>
      <c r="S3" s="8">
        <f t="shared" ref="S3:S38" si="4">P3+Q3+R3</f>
        <v>1020.6</v>
      </c>
    </row>
    <row r="4" spans="1:21">
      <c r="A4" s="6">
        <v>45087</v>
      </c>
      <c r="B4" s="5" t="s">
        <v>88</v>
      </c>
      <c r="C4" s="5" t="s">
        <v>83</v>
      </c>
      <c r="D4" s="5">
        <v>315</v>
      </c>
      <c r="E4" s="5">
        <v>313</v>
      </c>
      <c r="F4" s="5">
        <v>1253</v>
      </c>
      <c r="G4" s="5">
        <v>1230</v>
      </c>
      <c r="H4" s="5">
        <v>2323</v>
      </c>
      <c r="I4" s="5">
        <v>2299</v>
      </c>
      <c r="J4" s="5">
        <v>2765</v>
      </c>
      <c r="K4" s="5">
        <v>2754</v>
      </c>
      <c r="L4" s="5">
        <v>7345</v>
      </c>
      <c r="M4" s="5">
        <v>7201</v>
      </c>
      <c r="N4" s="5">
        <f t="shared" si="0"/>
        <v>25</v>
      </c>
      <c r="O4" s="5">
        <f t="shared" si="1"/>
        <v>179</v>
      </c>
      <c r="P4" s="7">
        <f t="shared" si="2"/>
        <v>87.5</v>
      </c>
      <c r="Q4" s="7">
        <f t="shared" si="3"/>
        <v>161.1</v>
      </c>
      <c r="R4" s="7">
        <v>800</v>
      </c>
      <c r="S4" s="8">
        <f t="shared" si="4"/>
        <v>1048.5999999999999</v>
      </c>
    </row>
    <row r="5" spans="1:21">
      <c r="A5" s="6">
        <v>45117</v>
      </c>
      <c r="B5" s="5" t="s">
        <v>88</v>
      </c>
      <c r="C5" s="5" t="s">
        <v>83</v>
      </c>
      <c r="D5" s="5">
        <v>0</v>
      </c>
      <c r="E5" s="5">
        <v>0</v>
      </c>
      <c r="F5" s="5">
        <v>1269</v>
      </c>
      <c r="G5" s="5">
        <v>1253</v>
      </c>
      <c r="H5" s="5">
        <v>2351</v>
      </c>
      <c r="I5" s="5">
        <v>2323</v>
      </c>
      <c r="J5" s="5">
        <v>2777</v>
      </c>
      <c r="K5" s="5">
        <v>2765</v>
      </c>
      <c r="L5" s="5">
        <v>7488</v>
      </c>
      <c r="M5" s="5">
        <v>7345</v>
      </c>
      <c r="N5" s="5">
        <f t="shared" si="0"/>
        <v>16</v>
      </c>
      <c r="O5" s="5">
        <f t="shared" ref="O5:O18" si="5">(H5-I5)+(J4-K4)+(L5-M5)</f>
        <v>182</v>
      </c>
      <c r="P5" s="7">
        <f t="shared" si="2"/>
        <v>56</v>
      </c>
      <c r="Q5" s="7">
        <f t="shared" si="3"/>
        <v>163.80000000000001</v>
      </c>
      <c r="R5" s="7">
        <v>800</v>
      </c>
      <c r="S5" s="8">
        <f t="shared" si="4"/>
        <v>1019.8</v>
      </c>
    </row>
    <row r="6" spans="1:21">
      <c r="A6" s="6">
        <v>45148</v>
      </c>
      <c r="B6" s="5" t="s">
        <v>88</v>
      </c>
      <c r="C6" s="5" t="s">
        <v>83</v>
      </c>
      <c r="D6" s="5">
        <v>0</v>
      </c>
      <c r="E6" s="5">
        <v>0</v>
      </c>
      <c r="F6" s="5">
        <v>1288</v>
      </c>
      <c r="G6" s="5">
        <v>1269</v>
      </c>
      <c r="H6" s="5">
        <v>2384</v>
      </c>
      <c r="I6" s="5">
        <v>2351</v>
      </c>
      <c r="J6" s="5">
        <v>2814</v>
      </c>
      <c r="K6" s="5">
        <v>2777</v>
      </c>
      <c r="L6" s="5">
        <v>7725</v>
      </c>
      <c r="M6" s="5">
        <v>7488</v>
      </c>
      <c r="N6" s="5">
        <f t="shared" si="0"/>
        <v>19</v>
      </c>
      <c r="O6" s="5">
        <f t="shared" si="5"/>
        <v>282</v>
      </c>
      <c r="P6" s="7">
        <f t="shared" si="2"/>
        <v>66.5</v>
      </c>
      <c r="Q6" s="7">
        <f t="shared" si="3"/>
        <v>253.8</v>
      </c>
      <c r="R6" s="7">
        <v>800</v>
      </c>
      <c r="S6" s="8">
        <f t="shared" si="4"/>
        <v>1120.3</v>
      </c>
    </row>
    <row r="7" spans="1:21">
      <c r="A7" s="6">
        <v>45179</v>
      </c>
      <c r="B7" s="5" t="s">
        <v>88</v>
      </c>
      <c r="C7" s="5" t="s">
        <v>83</v>
      </c>
      <c r="D7" s="5">
        <v>321</v>
      </c>
      <c r="E7" s="5">
        <v>315</v>
      </c>
      <c r="F7" s="5">
        <v>1304</v>
      </c>
      <c r="G7" s="5">
        <v>1288</v>
      </c>
      <c r="H7" s="5">
        <v>2408</v>
      </c>
      <c r="I7" s="5">
        <v>2384</v>
      </c>
      <c r="J7" s="5">
        <v>7</v>
      </c>
      <c r="K7" s="5">
        <v>0</v>
      </c>
      <c r="L7" s="5">
        <v>7866</v>
      </c>
      <c r="M7" s="5">
        <v>7725</v>
      </c>
      <c r="N7" s="5">
        <f t="shared" si="0"/>
        <v>22</v>
      </c>
      <c r="O7" s="5">
        <f t="shared" si="5"/>
        <v>202</v>
      </c>
      <c r="P7" s="7">
        <f t="shared" si="2"/>
        <v>77</v>
      </c>
      <c r="Q7" s="7">
        <f>O7*0.9</f>
        <v>181.8</v>
      </c>
      <c r="R7" s="7">
        <v>800</v>
      </c>
      <c r="S7" s="8">
        <f t="shared" si="4"/>
        <v>1058.8</v>
      </c>
    </row>
    <row r="8" spans="1:21">
      <c r="A8" s="6">
        <v>45209</v>
      </c>
      <c r="B8" s="5" t="s">
        <v>88</v>
      </c>
      <c r="C8" s="5" t="s">
        <v>83</v>
      </c>
      <c r="D8" s="5">
        <v>0</v>
      </c>
      <c r="E8" s="5">
        <v>0</v>
      </c>
      <c r="F8" s="5">
        <v>1320</v>
      </c>
      <c r="G8" s="5">
        <v>1304</v>
      </c>
      <c r="H8" s="5">
        <v>2433</v>
      </c>
      <c r="I8" s="5">
        <v>2408</v>
      </c>
      <c r="J8" s="5">
        <v>17</v>
      </c>
      <c r="K8" s="5">
        <v>7</v>
      </c>
      <c r="L8" s="5">
        <v>8003</v>
      </c>
      <c r="M8" s="5">
        <v>7866</v>
      </c>
      <c r="N8" s="5">
        <f t="shared" si="0"/>
        <v>16</v>
      </c>
      <c r="O8" s="5">
        <f t="shared" si="5"/>
        <v>169</v>
      </c>
      <c r="P8" s="7">
        <f t="shared" si="2"/>
        <v>56</v>
      </c>
      <c r="Q8" s="7">
        <f t="shared" ref="Q8:Q38" si="6">O8*1</f>
        <v>169</v>
      </c>
      <c r="R8" s="7">
        <v>800</v>
      </c>
      <c r="S8" s="8">
        <f t="shared" si="4"/>
        <v>1025</v>
      </c>
    </row>
    <row r="9" spans="1:21">
      <c r="A9" s="6">
        <v>45240</v>
      </c>
      <c r="B9" s="5" t="s">
        <v>88</v>
      </c>
      <c r="C9" s="5" t="s">
        <v>83</v>
      </c>
      <c r="D9" s="5">
        <v>323</v>
      </c>
      <c r="E9" s="5">
        <v>321</v>
      </c>
      <c r="F9" s="5">
        <v>1337</v>
      </c>
      <c r="G9" s="5">
        <v>1320</v>
      </c>
      <c r="H9" s="5">
        <v>2454</v>
      </c>
      <c r="I9" s="5">
        <v>2433</v>
      </c>
      <c r="J9" s="5">
        <v>19</v>
      </c>
      <c r="K9" s="5">
        <v>17</v>
      </c>
      <c r="L9" s="5">
        <v>8132</v>
      </c>
      <c r="M9" s="5">
        <v>8003</v>
      </c>
      <c r="N9" s="5">
        <f t="shared" si="0"/>
        <v>19</v>
      </c>
      <c r="O9" s="5">
        <f t="shared" si="5"/>
        <v>160</v>
      </c>
      <c r="P9" s="7">
        <f t="shared" si="2"/>
        <v>66.5</v>
      </c>
      <c r="Q9" s="7">
        <f t="shared" si="6"/>
        <v>160</v>
      </c>
      <c r="R9" s="7">
        <v>800</v>
      </c>
      <c r="S9" s="8">
        <f t="shared" si="4"/>
        <v>1026.5</v>
      </c>
    </row>
    <row r="10" spans="1:21">
      <c r="A10" s="6">
        <v>45270</v>
      </c>
      <c r="B10" s="5" t="s">
        <v>88</v>
      </c>
      <c r="C10" s="5" t="s">
        <v>83</v>
      </c>
      <c r="D10" s="5">
        <v>0</v>
      </c>
      <c r="E10" s="5">
        <v>0</v>
      </c>
      <c r="F10" s="5">
        <v>1353</v>
      </c>
      <c r="G10" s="5">
        <v>1337</v>
      </c>
      <c r="H10" s="5">
        <v>2472</v>
      </c>
      <c r="I10" s="5">
        <v>2454</v>
      </c>
      <c r="J10" s="5">
        <v>80</v>
      </c>
      <c r="K10" s="5">
        <v>19</v>
      </c>
      <c r="L10" s="5">
        <v>8277</v>
      </c>
      <c r="M10" s="5">
        <v>8132</v>
      </c>
      <c r="N10" s="5">
        <f t="shared" si="0"/>
        <v>16</v>
      </c>
      <c r="O10" s="5">
        <f t="shared" si="5"/>
        <v>165</v>
      </c>
      <c r="P10" s="7">
        <f t="shared" si="2"/>
        <v>56</v>
      </c>
      <c r="Q10" s="7">
        <f t="shared" si="6"/>
        <v>165</v>
      </c>
      <c r="R10" s="7">
        <v>800</v>
      </c>
      <c r="S10" s="8">
        <f t="shared" si="4"/>
        <v>1021</v>
      </c>
    </row>
    <row r="11" spans="1:21">
      <c r="A11" s="6">
        <v>45301</v>
      </c>
      <c r="B11" s="5" t="s">
        <v>88</v>
      </c>
      <c r="C11" s="5" t="s">
        <v>83</v>
      </c>
      <c r="D11" s="5">
        <v>0</v>
      </c>
      <c r="E11" s="5">
        <v>0</v>
      </c>
      <c r="F11" s="5">
        <v>1372</v>
      </c>
      <c r="G11" s="5">
        <v>1353</v>
      </c>
      <c r="H11" s="5">
        <v>2488</v>
      </c>
      <c r="I11" s="5">
        <v>2472</v>
      </c>
      <c r="J11" s="5">
        <v>126</v>
      </c>
      <c r="K11" s="5">
        <v>80</v>
      </c>
      <c r="L11" s="5">
        <v>8468</v>
      </c>
      <c r="M11" s="5">
        <v>8277</v>
      </c>
      <c r="N11" s="5">
        <f t="shared" si="0"/>
        <v>19</v>
      </c>
      <c r="O11" s="5">
        <f t="shared" si="5"/>
        <v>268</v>
      </c>
      <c r="P11" s="7">
        <f t="shared" si="2"/>
        <v>66.5</v>
      </c>
      <c r="Q11" s="7">
        <f t="shared" si="6"/>
        <v>268</v>
      </c>
      <c r="R11" s="7">
        <v>800</v>
      </c>
      <c r="S11" s="8">
        <f t="shared" si="4"/>
        <v>1134.5</v>
      </c>
    </row>
    <row r="12" spans="1:21">
      <c r="A12" s="6">
        <v>45332</v>
      </c>
      <c r="B12" s="5" t="s">
        <v>88</v>
      </c>
      <c r="C12" s="5" t="s">
        <v>83</v>
      </c>
      <c r="D12" s="5">
        <v>325</v>
      </c>
      <c r="E12" s="5">
        <v>323</v>
      </c>
      <c r="F12" s="5">
        <v>1391</v>
      </c>
      <c r="G12" s="5">
        <v>1372</v>
      </c>
      <c r="H12" s="5">
        <v>2508</v>
      </c>
      <c r="I12" s="5">
        <v>2488</v>
      </c>
      <c r="J12" s="5">
        <v>153</v>
      </c>
      <c r="K12" s="5">
        <v>126</v>
      </c>
      <c r="L12" s="5">
        <v>8679</v>
      </c>
      <c r="M12" s="5">
        <v>8468</v>
      </c>
      <c r="N12" s="5">
        <f t="shared" si="0"/>
        <v>21</v>
      </c>
      <c r="O12" s="5">
        <f t="shared" si="5"/>
        <v>277</v>
      </c>
      <c r="P12" s="7">
        <f t="shared" si="2"/>
        <v>73.5</v>
      </c>
      <c r="Q12" s="7">
        <f t="shared" si="6"/>
        <v>277</v>
      </c>
      <c r="R12" s="7">
        <v>800</v>
      </c>
      <c r="S12" s="8">
        <f t="shared" si="4"/>
        <v>1150.5</v>
      </c>
    </row>
    <row r="13" spans="1:21">
      <c r="A13" s="6">
        <v>45361</v>
      </c>
      <c r="B13" s="5" t="s">
        <v>88</v>
      </c>
      <c r="C13" s="5" t="s">
        <v>83</v>
      </c>
      <c r="D13" s="5">
        <v>327</v>
      </c>
      <c r="E13" s="5">
        <v>325</v>
      </c>
      <c r="F13" s="5">
        <v>1405</v>
      </c>
      <c r="G13" s="5">
        <v>1391</v>
      </c>
      <c r="H13" s="5">
        <v>2520</v>
      </c>
      <c r="I13" s="5">
        <v>2508</v>
      </c>
      <c r="J13" s="5">
        <v>197</v>
      </c>
      <c r="K13" s="5">
        <v>153</v>
      </c>
      <c r="L13" s="5">
        <v>8824</v>
      </c>
      <c r="M13" s="5">
        <v>8679</v>
      </c>
      <c r="N13" s="5">
        <f t="shared" si="0"/>
        <v>16</v>
      </c>
      <c r="O13" s="5">
        <f t="shared" si="5"/>
        <v>184</v>
      </c>
      <c r="P13" s="7">
        <f t="shared" si="2"/>
        <v>56</v>
      </c>
      <c r="Q13" s="7">
        <f t="shared" si="6"/>
        <v>184</v>
      </c>
      <c r="R13" s="7">
        <v>800</v>
      </c>
      <c r="S13" s="8">
        <f t="shared" si="4"/>
        <v>1040</v>
      </c>
    </row>
    <row r="14" spans="1:21">
      <c r="A14" s="6">
        <v>45392</v>
      </c>
      <c r="B14" s="5" t="s">
        <v>88</v>
      </c>
      <c r="C14" s="5" t="s">
        <v>83</v>
      </c>
      <c r="D14" s="5">
        <v>0</v>
      </c>
      <c r="E14" s="5">
        <v>0</v>
      </c>
      <c r="F14" s="5">
        <v>1430</v>
      </c>
      <c r="G14" s="5">
        <v>1405</v>
      </c>
      <c r="H14" s="5">
        <v>2538</v>
      </c>
      <c r="I14" s="5">
        <v>2520</v>
      </c>
      <c r="J14" s="5">
        <v>208</v>
      </c>
      <c r="K14" s="5">
        <v>197</v>
      </c>
      <c r="L14" s="5">
        <v>9013</v>
      </c>
      <c r="M14" s="5">
        <v>8824</v>
      </c>
      <c r="N14" s="5">
        <f t="shared" si="0"/>
        <v>25</v>
      </c>
      <c r="O14" s="5">
        <f t="shared" si="5"/>
        <v>251</v>
      </c>
      <c r="P14" s="7">
        <f t="shared" si="2"/>
        <v>87.5</v>
      </c>
      <c r="Q14" s="7">
        <f t="shared" si="6"/>
        <v>251</v>
      </c>
      <c r="R14" s="7">
        <v>800</v>
      </c>
      <c r="S14" s="8">
        <f t="shared" si="4"/>
        <v>1138.5</v>
      </c>
    </row>
    <row r="15" spans="1:21">
      <c r="A15" s="6">
        <v>45422</v>
      </c>
      <c r="B15" s="5" t="s">
        <v>88</v>
      </c>
      <c r="C15" s="5" t="s">
        <v>83</v>
      </c>
      <c r="D15" s="5">
        <v>331</v>
      </c>
      <c r="E15" s="5">
        <v>327</v>
      </c>
      <c r="F15" s="5">
        <v>1451</v>
      </c>
      <c r="G15" s="5">
        <v>1430</v>
      </c>
      <c r="H15" s="5">
        <v>2562</v>
      </c>
      <c r="I15" s="5">
        <v>2538</v>
      </c>
      <c r="J15" s="5">
        <v>217</v>
      </c>
      <c r="K15" s="5">
        <v>208</v>
      </c>
      <c r="L15" s="5">
        <v>9175</v>
      </c>
      <c r="M15" s="5">
        <v>9013</v>
      </c>
      <c r="N15" s="5">
        <f t="shared" si="0"/>
        <v>25</v>
      </c>
      <c r="O15" s="5">
        <f t="shared" si="5"/>
        <v>197</v>
      </c>
      <c r="P15" s="7">
        <f t="shared" si="2"/>
        <v>87.5</v>
      </c>
      <c r="Q15" s="7">
        <f t="shared" si="6"/>
        <v>197</v>
      </c>
      <c r="R15" s="7">
        <v>800</v>
      </c>
      <c r="S15" s="8">
        <f t="shared" si="4"/>
        <v>1084.5</v>
      </c>
    </row>
    <row r="16" spans="1:21">
      <c r="A16" s="6">
        <v>45453</v>
      </c>
      <c r="B16" s="5" t="s">
        <v>88</v>
      </c>
      <c r="C16" s="5" t="s">
        <v>83</v>
      </c>
      <c r="D16" s="5">
        <v>0</v>
      </c>
      <c r="E16" s="5">
        <v>0</v>
      </c>
      <c r="F16" s="5">
        <v>1469</v>
      </c>
      <c r="G16" s="5">
        <v>1451</v>
      </c>
      <c r="H16" s="5">
        <v>2596</v>
      </c>
      <c r="I16" s="5">
        <v>2562</v>
      </c>
      <c r="J16" s="5">
        <v>254</v>
      </c>
      <c r="K16" s="5">
        <v>217</v>
      </c>
      <c r="L16" s="5">
        <v>9328</v>
      </c>
      <c r="M16" s="5">
        <v>9175</v>
      </c>
      <c r="N16" s="5">
        <f t="shared" si="0"/>
        <v>18</v>
      </c>
      <c r="O16" s="5">
        <f t="shared" si="5"/>
        <v>196</v>
      </c>
      <c r="P16" s="7">
        <f t="shared" si="2"/>
        <v>63</v>
      </c>
      <c r="Q16" s="7">
        <f t="shared" si="6"/>
        <v>196</v>
      </c>
      <c r="R16" s="7">
        <v>800</v>
      </c>
      <c r="S16" s="8">
        <f t="shared" si="4"/>
        <v>1059</v>
      </c>
    </row>
    <row r="17" spans="1:21">
      <c r="A17" s="6">
        <v>45483</v>
      </c>
      <c r="B17" s="5" t="s">
        <v>88</v>
      </c>
      <c r="C17" s="5" t="s">
        <v>83</v>
      </c>
      <c r="D17" s="5">
        <v>333</v>
      </c>
      <c r="E17" s="5">
        <v>331</v>
      </c>
      <c r="F17" s="5">
        <v>1490</v>
      </c>
      <c r="G17" s="5">
        <v>1469</v>
      </c>
      <c r="H17" s="5">
        <v>2633</v>
      </c>
      <c r="I17" s="5">
        <v>2596</v>
      </c>
      <c r="J17" s="5">
        <v>318</v>
      </c>
      <c r="K17" s="5">
        <v>254</v>
      </c>
      <c r="L17" s="5">
        <v>9509</v>
      </c>
      <c r="M17" s="5">
        <v>9328</v>
      </c>
      <c r="N17" s="5">
        <f t="shared" si="0"/>
        <v>23</v>
      </c>
      <c r="O17" s="5">
        <f t="shared" si="5"/>
        <v>255</v>
      </c>
      <c r="P17" s="7">
        <f t="shared" si="2"/>
        <v>80.5</v>
      </c>
      <c r="Q17" s="7">
        <f t="shared" si="6"/>
        <v>255</v>
      </c>
      <c r="R17" s="7">
        <v>800</v>
      </c>
      <c r="S17" s="8">
        <f t="shared" si="4"/>
        <v>1135.5</v>
      </c>
    </row>
    <row r="18" spans="1:21">
      <c r="A18" s="6">
        <v>45514</v>
      </c>
      <c r="B18" s="5" t="s">
        <v>88</v>
      </c>
      <c r="C18" s="5" t="s">
        <v>83</v>
      </c>
      <c r="D18" s="5">
        <v>336</v>
      </c>
      <c r="E18" s="5">
        <v>331</v>
      </c>
      <c r="F18" s="5">
        <v>1509</v>
      </c>
      <c r="G18" s="5">
        <v>1490</v>
      </c>
      <c r="H18" s="5">
        <v>2676</v>
      </c>
      <c r="I18" s="5">
        <v>2633</v>
      </c>
      <c r="J18" s="5">
        <v>0</v>
      </c>
      <c r="K18" s="5">
        <v>0</v>
      </c>
      <c r="L18" s="5">
        <v>9722</v>
      </c>
      <c r="M18" s="5">
        <v>9509</v>
      </c>
      <c r="N18" s="5">
        <f t="shared" si="0"/>
        <v>24</v>
      </c>
      <c r="O18" s="5">
        <f t="shared" si="5"/>
        <v>320</v>
      </c>
      <c r="P18" s="7">
        <f t="shared" si="2"/>
        <v>84</v>
      </c>
      <c r="Q18" s="7">
        <f t="shared" si="6"/>
        <v>320</v>
      </c>
      <c r="R18" s="7">
        <v>800</v>
      </c>
      <c r="S18" s="8">
        <f t="shared" si="4"/>
        <v>1204</v>
      </c>
    </row>
    <row r="19" spans="1:21">
      <c r="A19" s="6">
        <v>45545</v>
      </c>
      <c r="B19" s="5" t="s">
        <v>88</v>
      </c>
      <c r="C19" s="5" t="s">
        <v>83</v>
      </c>
      <c r="D19" s="5">
        <v>337</v>
      </c>
      <c r="E19" s="5">
        <v>336</v>
      </c>
      <c r="F19" s="5">
        <v>1530</v>
      </c>
      <c r="G19" s="5">
        <v>1509</v>
      </c>
      <c r="H19" s="5">
        <v>2718</v>
      </c>
      <c r="I19" s="5">
        <v>2676</v>
      </c>
      <c r="J19" s="5">
        <v>351</v>
      </c>
      <c r="K19" s="5">
        <v>318</v>
      </c>
      <c r="L19" s="5">
        <v>9947</v>
      </c>
      <c r="M19" s="5">
        <v>9772</v>
      </c>
      <c r="N19" s="5">
        <f t="shared" si="0"/>
        <v>22</v>
      </c>
      <c r="O19" s="5">
        <f t="shared" ref="O19:O38" si="7">(H19-I19)+(J19-K19)+(L19-M19)</f>
        <v>250</v>
      </c>
      <c r="P19" s="7">
        <f t="shared" si="2"/>
        <v>77</v>
      </c>
      <c r="Q19" s="7">
        <f t="shared" si="6"/>
        <v>250</v>
      </c>
      <c r="R19" s="7">
        <v>800</v>
      </c>
      <c r="S19" s="8">
        <f t="shared" si="4"/>
        <v>1127</v>
      </c>
    </row>
    <row r="20" spans="1:21">
      <c r="A20" s="6">
        <v>45575</v>
      </c>
      <c r="B20" s="5" t="s">
        <v>88</v>
      </c>
      <c r="C20" s="5" t="s">
        <v>83</v>
      </c>
      <c r="D20" s="5">
        <v>341</v>
      </c>
      <c r="E20" s="5">
        <v>337</v>
      </c>
      <c r="F20" s="5">
        <v>1554</v>
      </c>
      <c r="G20" s="5">
        <v>1530</v>
      </c>
      <c r="H20" s="5">
        <v>2799</v>
      </c>
      <c r="I20" s="5">
        <v>2718</v>
      </c>
      <c r="J20" s="5">
        <v>375</v>
      </c>
      <c r="K20" s="5">
        <v>351</v>
      </c>
      <c r="L20" s="5">
        <v>10132</v>
      </c>
      <c r="M20" s="5">
        <v>9947</v>
      </c>
      <c r="N20" s="5">
        <f t="shared" si="0"/>
        <v>28</v>
      </c>
      <c r="O20" s="5">
        <f t="shared" si="7"/>
        <v>290</v>
      </c>
      <c r="P20" s="7">
        <f t="shared" si="2"/>
        <v>98</v>
      </c>
      <c r="Q20" s="7">
        <f t="shared" si="6"/>
        <v>290</v>
      </c>
      <c r="R20" s="7">
        <v>800</v>
      </c>
      <c r="S20" s="8">
        <f t="shared" si="4"/>
        <v>1188</v>
      </c>
    </row>
    <row r="21" spans="1:21">
      <c r="A21" s="6">
        <v>45606</v>
      </c>
      <c r="B21" s="5" t="s">
        <v>88</v>
      </c>
      <c r="C21" s="5" t="s">
        <v>83</v>
      </c>
      <c r="D21" s="5">
        <v>343</v>
      </c>
      <c r="E21" s="5">
        <v>341</v>
      </c>
      <c r="F21" s="5">
        <v>1577</v>
      </c>
      <c r="G21" s="5">
        <v>1554</v>
      </c>
      <c r="H21" s="5">
        <v>0</v>
      </c>
      <c r="I21" s="5">
        <v>0</v>
      </c>
      <c r="J21" s="5">
        <v>383</v>
      </c>
      <c r="K21" s="5">
        <v>375</v>
      </c>
      <c r="L21" s="5">
        <v>305</v>
      </c>
      <c r="M21" s="5">
        <v>132</v>
      </c>
      <c r="N21" s="5">
        <f t="shared" si="0"/>
        <v>25</v>
      </c>
      <c r="O21" s="5">
        <f t="shared" si="7"/>
        <v>181</v>
      </c>
      <c r="P21" s="7">
        <f t="shared" si="2"/>
        <v>87.5</v>
      </c>
      <c r="Q21" s="7">
        <f t="shared" si="6"/>
        <v>181</v>
      </c>
      <c r="R21" s="7">
        <v>800</v>
      </c>
      <c r="S21" s="8">
        <f t="shared" si="4"/>
        <v>1068.5</v>
      </c>
    </row>
    <row r="22" spans="1:21">
      <c r="A22" s="6">
        <v>45636</v>
      </c>
      <c r="B22" s="5" t="s">
        <v>88</v>
      </c>
      <c r="C22" s="5" t="s">
        <v>83</v>
      </c>
      <c r="D22" s="5">
        <v>345</v>
      </c>
      <c r="E22" s="5">
        <v>343</v>
      </c>
      <c r="F22" s="5">
        <v>1598</v>
      </c>
      <c r="G22" s="5">
        <v>1577</v>
      </c>
      <c r="H22" s="5">
        <v>2824</v>
      </c>
      <c r="I22" s="5">
        <v>2799</v>
      </c>
      <c r="J22" s="5">
        <v>409</v>
      </c>
      <c r="K22" s="5">
        <v>383</v>
      </c>
      <c r="L22" s="5">
        <v>467</v>
      </c>
      <c r="M22" s="5">
        <v>305</v>
      </c>
      <c r="N22" s="5">
        <f t="shared" si="0"/>
        <v>23</v>
      </c>
      <c r="O22" s="5">
        <f t="shared" si="7"/>
        <v>213</v>
      </c>
      <c r="P22" s="7">
        <f t="shared" si="2"/>
        <v>80.5</v>
      </c>
      <c r="Q22" s="7">
        <f t="shared" si="6"/>
        <v>213</v>
      </c>
      <c r="R22" s="7">
        <v>800</v>
      </c>
      <c r="S22" s="8">
        <f t="shared" si="4"/>
        <v>1093.5</v>
      </c>
    </row>
    <row r="23" spans="1:21">
      <c r="A23" s="6">
        <v>45672</v>
      </c>
      <c r="B23" s="5" t="s">
        <v>88</v>
      </c>
      <c r="C23" s="5" t="s">
        <v>83</v>
      </c>
      <c r="D23" s="5">
        <v>350</v>
      </c>
      <c r="E23" s="5">
        <v>345</v>
      </c>
      <c r="F23" s="5">
        <v>1618</v>
      </c>
      <c r="G23" s="5">
        <v>1598</v>
      </c>
      <c r="H23" s="5">
        <v>2851</v>
      </c>
      <c r="I23" s="5">
        <v>2824</v>
      </c>
      <c r="J23" s="5">
        <v>689</v>
      </c>
      <c r="K23" s="5">
        <v>409</v>
      </c>
      <c r="L23" s="5">
        <v>677</v>
      </c>
      <c r="M23" s="5">
        <v>467</v>
      </c>
      <c r="N23" s="5">
        <f t="shared" si="0"/>
        <v>25</v>
      </c>
      <c r="O23" s="5">
        <f t="shared" si="7"/>
        <v>517</v>
      </c>
      <c r="P23" s="7">
        <f t="shared" si="2"/>
        <v>87.5</v>
      </c>
      <c r="Q23" s="7">
        <f t="shared" si="6"/>
        <v>517</v>
      </c>
      <c r="R23" s="7">
        <v>800</v>
      </c>
      <c r="S23" s="8">
        <f t="shared" si="4"/>
        <v>1404.5</v>
      </c>
    </row>
    <row r="24" spans="1:21">
      <c r="A24" s="6">
        <v>45703</v>
      </c>
      <c r="B24" s="5" t="s">
        <v>88</v>
      </c>
      <c r="C24" s="5" t="s">
        <v>83</v>
      </c>
      <c r="D24" s="5">
        <v>353</v>
      </c>
      <c r="E24" s="5">
        <v>350</v>
      </c>
      <c r="F24" s="5">
        <v>1631</v>
      </c>
      <c r="G24" s="5">
        <v>1618</v>
      </c>
      <c r="H24" s="5">
        <v>2870</v>
      </c>
      <c r="I24" s="5">
        <v>2851</v>
      </c>
      <c r="J24" s="5">
        <v>905</v>
      </c>
      <c r="K24" s="5">
        <v>689</v>
      </c>
      <c r="L24" s="5">
        <v>855</v>
      </c>
      <c r="M24" s="5">
        <v>677</v>
      </c>
      <c r="N24" s="5">
        <f t="shared" si="0"/>
        <v>16</v>
      </c>
      <c r="O24" s="5">
        <f t="shared" si="7"/>
        <v>413</v>
      </c>
      <c r="P24" s="7">
        <f t="shared" si="2"/>
        <v>56</v>
      </c>
      <c r="Q24" s="7">
        <f t="shared" si="6"/>
        <v>413</v>
      </c>
      <c r="R24" s="7">
        <v>800</v>
      </c>
      <c r="S24" s="8">
        <f t="shared" si="4"/>
        <v>1269</v>
      </c>
    </row>
    <row r="25" spans="1:21">
      <c r="A25" s="6">
        <v>45731</v>
      </c>
      <c r="B25" s="5" t="s">
        <v>88</v>
      </c>
      <c r="C25" s="5" t="s">
        <v>83</v>
      </c>
      <c r="D25" s="5">
        <v>359</v>
      </c>
      <c r="E25" s="5">
        <v>353</v>
      </c>
      <c r="F25" s="5">
        <v>1647</v>
      </c>
      <c r="G25" s="5">
        <v>1618</v>
      </c>
      <c r="H25" s="5">
        <v>2897</v>
      </c>
      <c r="I25" s="5">
        <v>2870</v>
      </c>
      <c r="J25" s="5">
        <v>1057</v>
      </c>
      <c r="K25" s="5">
        <v>905</v>
      </c>
      <c r="L25" s="5">
        <v>1020</v>
      </c>
      <c r="M25" s="5">
        <v>855</v>
      </c>
      <c r="N25" s="5">
        <f t="shared" si="0"/>
        <v>35</v>
      </c>
      <c r="O25" s="5">
        <f t="shared" si="7"/>
        <v>344</v>
      </c>
      <c r="P25" s="7">
        <f t="shared" si="2"/>
        <v>122.5</v>
      </c>
      <c r="Q25" s="7">
        <f t="shared" si="6"/>
        <v>344</v>
      </c>
      <c r="R25" s="7">
        <v>800</v>
      </c>
      <c r="S25" s="8">
        <f t="shared" si="4"/>
        <v>1266.5</v>
      </c>
    </row>
    <row r="26" spans="1:21">
      <c r="A26" s="6">
        <v>45762</v>
      </c>
      <c r="B26" s="5" t="s">
        <v>88</v>
      </c>
      <c r="C26" s="5" t="s">
        <v>83</v>
      </c>
      <c r="D26" s="5">
        <v>364</v>
      </c>
      <c r="E26" s="5">
        <v>359</v>
      </c>
      <c r="F26" s="5">
        <v>1662</v>
      </c>
      <c r="G26" s="5">
        <v>1647</v>
      </c>
      <c r="H26" s="5">
        <v>29229</v>
      </c>
      <c r="I26" s="5">
        <v>28976</v>
      </c>
      <c r="J26" s="5">
        <v>1157</v>
      </c>
      <c r="K26" s="5">
        <v>1057</v>
      </c>
      <c r="L26" s="5">
        <v>1171</v>
      </c>
      <c r="M26" s="5">
        <v>1020</v>
      </c>
      <c r="N26" s="5">
        <f t="shared" si="0"/>
        <v>20</v>
      </c>
      <c r="O26" s="5">
        <f t="shared" si="7"/>
        <v>504</v>
      </c>
      <c r="P26" s="7">
        <f t="shared" si="2"/>
        <v>70</v>
      </c>
      <c r="Q26" s="7">
        <f t="shared" si="6"/>
        <v>504</v>
      </c>
      <c r="R26" s="7">
        <v>800</v>
      </c>
      <c r="S26" s="8">
        <f t="shared" si="4"/>
        <v>1374</v>
      </c>
    </row>
    <row r="27" spans="1:21">
      <c r="A27" s="6">
        <v>45792</v>
      </c>
      <c r="B27" s="5" t="s">
        <v>88</v>
      </c>
      <c r="C27" s="5" t="s">
        <v>83</v>
      </c>
      <c r="D27" s="5">
        <v>369</v>
      </c>
      <c r="E27" s="5">
        <v>364</v>
      </c>
      <c r="F27" s="5">
        <v>1678</v>
      </c>
      <c r="G27" s="5">
        <v>1662</v>
      </c>
      <c r="H27" s="5">
        <v>29301</v>
      </c>
      <c r="I27" s="5">
        <v>29229</v>
      </c>
      <c r="J27" s="5">
        <v>1219</v>
      </c>
      <c r="K27" s="5">
        <v>1157</v>
      </c>
      <c r="L27" s="5">
        <v>1268</v>
      </c>
      <c r="M27" s="5">
        <v>1171</v>
      </c>
      <c r="N27" s="5">
        <f t="shared" si="0"/>
        <v>21</v>
      </c>
      <c r="O27" s="5">
        <f t="shared" si="7"/>
        <v>231</v>
      </c>
      <c r="P27" s="7">
        <f t="shared" si="2"/>
        <v>73.5</v>
      </c>
      <c r="Q27" s="7">
        <f t="shared" si="6"/>
        <v>231</v>
      </c>
      <c r="R27" s="7">
        <v>800</v>
      </c>
      <c r="S27" s="8">
        <f t="shared" si="4"/>
        <v>1104.5</v>
      </c>
    </row>
    <row r="28" spans="1:21">
      <c r="A28" s="6">
        <v>45792</v>
      </c>
      <c r="B28" s="5" t="s">
        <v>88</v>
      </c>
      <c r="C28" s="5" t="s">
        <v>83</v>
      </c>
      <c r="D28" s="5">
        <v>0</v>
      </c>
      <c r="E28" s="5">
        <v>0</v>
      </c>
      <c r="F28" s="5">
        <v>0</v>
      </c>
      <c r="G28" s="5">
        <v>0</v>
      </c>
      <c r="H28" s="5">
        <v>11</v>
      </c>
      <c r="I28" s="5">
        <v>0</v>
      </c>
      <c r="J28" s="5">
        <v>29</v>
      </c>
      <c r="K28" s="5">
        <v>0</v>
      </c>
      <c r="L28" s="5">
        <v>46</v>
      </c>
      <c r="M28" s="5">
        <v>0</v>
      </c>
      <c r="N28" s="5">
        <f t="shared" si="0"/>
        <v>0</v>
      </c>
      <c r="O28" s="5">
        <f t="shared" si="7"/>
        <v>86</v>
      </c>
      <c r="P28" s="7">
        <f t="shared" si="2"/>
        <v>0</v>
      </c>
      <c r="Q28" s="7">
        <f t="shared" si="6"/>
        <v>86</v>
      </c>
      <c r="R28" s="7">
        <v>0</v>
      </c>
      <c r="S28" s="8">
        <f t="shared" si="4"/>
        <v>86</v>
      </c>
      <c r="U28" s="5" t="s">
        <v>236</v>
      </c>
    </row>
    <row r="29" spans="1:21">
      <c r="A29" s="6">
        <v>45823</v>
      </c>
      <c r="B29" s="5" t="s">
        <v>88</v>
      </c>
      <c r="C29" s="5" t="s">
        <v>83</v>
      </c>
      <c r="D29" s="5">
        <v>373</v>
      </c>
      <c r="E29" s="5">
        <v>369</v>
      </c>
      <c r="F29" s="5">
        <v>1692</v>
      </c>
      <c r="G29" s="5">
        <v>1678</v>
      </c>
      <c r="H29" s="5">
        <v>38</v>
      </c>
      <c r="I29" s="5">
        <v>11</v>
      </c>
      <c r="J29" s="5">
        <v>90</v>
      </c>
      <c r="K29" s="5">
        <v>29</v>
      </c>
      <c r="L29" s="5">
        <v>150</v>
      </c>
      <c r="M29" s="5">
        <v>46</v>
      </c>
      <c r="N29" s="5">
        <f t="shared" si="0"/>
        <v>18</v>
      </c>
      <c r="O29" s="5">
        <f t="shared" si="7"/>
        <v>192</v>
      </c>
      <c r="P29" s="7">
        <f t="shared" si="2"/>
        <v>63</v>
      </c>
      <c r="Q29" s="7">
        <f t="shared" si="6"/>
        <v>192</v>
      </c>
      <c r="R29" s="7">
        <v>800</v>
      </c>
      <c r="S29" s="8">
        <f t="shared" si="4"/>
        <v>1055</v>
      </c>
    </row>
    <row r="30" spans="1:21">
      <c r="A30" s="6">
        <v>45853</v>
      </c>
      <c r="B30" s="5" t="s">
        <v>88</v>
      </c>
      <c r="C30" s="5" t="s">
        <v>83</v>
      </c>
      <c r="D30" s="5">
        <v>379</v>
      </c>
      <c r="E30" s="5">
        <v>373</v>
      </c>
      <c r="F30" s="5">
        <v>1712</v>
      </c>
      <c r="G30" s="5">
        <v>1692</v>
      </c>
      <c r="H30" s="5">
        <v>76</v>
      </c>
      <c r="I30" s="5">
        <v>38</v>
      </c>
      <c r="J30" s="5">
        <v>204</v>
      </c>
      <c r="K30" s="5">
        <v>90</v>
      </c>
      <c r="L30" s="5">
        <v>398</v>
      </c>
      <c r="M30" s="5">
        <v>150</v>
      </c>
      <c r="N30" s="5">
        <f t="shared" si="0"/>
        <v>26</v>
      </c>
      <c r="O30" s="5">
        <f t="shared" si="7"/>
        <v>400</v>
      </c>
      <c r="P30" s="7">
        <f t="shared" si="2"/>
        <v>91</v>
      </c>
      <c r="Q30" s="7">
        <f t="shared" si="6"/>
        <v>400</v>
      </c>
      <c r="R30" s="7">
        <v>800</v>
      </c>
      <c r="S30" s="8">
        <f t="shared" si="4"/>
        <v>1291</v>
      </c>
    </row>
    <row r="31" spans="1:21">
      <c r="A31" s="6">
        <v>45884</v>
      </c>
      <c r="B31" s="5" t="s">
        <v>88</v>
      </c>
      <c r="C31" s="5" t="s">
        <v>83</v>
      </c>
      <c r="D31" s="5">
        <v>386</v>
      </c>
      <c r="E31" s="5">
        <v>379</v>
      </c>
      <c r="F31" s="5">
        <v>1730</v>
      </c>
      <c r="G31" s="5">
        <v>1712</v>
      </c>
      <c r="H31" s="5">
        <v>113</v>
      </c>
      <c r="I31" s="5">
        <v>76</v>
      </c>
      <c r="J31" s="5">
        <v>319</v>
      </c>
      <c r="K31" s="5">
        <v>204</v>
      </c>
      <c r="L31" s="5">
        <v>675</v>
      </c>
      <c r="M31" s="5">
        <v>398</v>
      </c>
      <c r="N31" s="5">
        <f t="shared" si="0"/>
        <v>25</v>
      </c>
      <c r="O31" s="5">
        <f t="shared" si="7"/>
        <v>429</v>
      </c>
      <c r="P31" s="7">
        <f t="shared" si="2"/>
        <v>87.5</v>
      </c>
      <c r="Q31" s="7">
        <f t="shared" si="6"/>
        <v>429</v>
      </c>
      <c r="R31" s="7">
        <v>800</v>
      </c>
      <c r="S31" s="8">
        <f t="shared" si="4"/>
        <v>1316.5</v>
      </c>
    </row>
    <row r="32" spans="1:21">
      <c r="A32" s="6">
        <v>45915</v>
      </c>
      <c r="B32" s="5" t="s">
        <v>88</v>
      </c>
      <c r="C32" s="5" t="s">
        <v>83</v>
      </c>
      <c r="D32" s="5">
        <v>391</v>
      </c>
      <c r="E32" s="5">
        <v>386</v>
      </c>
      <c r="F32" s="5">
        <v>1745</v>
      </c>
      <c r="G32" s="5">
        <v>1730</v>
      </c>
      <c r="H32" s="5">
        <v>151</v>
      </c>
      <c r="I32" s="5">
        <v>113</v>
      </c>
      <c r="J32" s="5">
        <v>409</v>
      </c>
      <c r="K32" s="5">
        <v>319</v>
      </c>
      <c r="L32" s="5">
        <v>861</v>
      </c>
      <c r="M32" s="5">
        <v>675</v>
      </c>
      <c r="N32" s="5">
        <f t="shared" si="0"/>
        <v>20</v>
      </c>
      <c r="O32" s="5">
        <f t="shared" si="7"/>
        <v>314</v>
      </c>
      <c r="P32" s="7">
        <f t="shared" si="2"/>
        <v>70</v>
      </c>
      <c r="Q32" s="7">
        <f t="shared" si="6"/>
        <v>314</v>
      </c>
      <c r="R32" s="7">
        <v>800</v>
      </c>
      <c r="S32" s="8">
        <f t="shared" si="4"/>
        <v>1184</v>
      </c>
      <c r="U32" s="5" t="s">
        <v>279</v>
      </c>
    </row>
    <row r="33" spans="1:19">
      <c r="A33" s="6">
        <v>45945</v>
      </c>
      <c r="B33" s="5" t="s">
        <v>88</v>
      </c>
      <c r="C33" s="5" t="s">
        <v>83</v>
      </c>
      <c r="D33" s="5">
        <v>395</v>
      </c>
      <c r="E33" s="5">
        <v>391</v>
      </c>
      <c r="F33" s="5">
        <v>1759</v>
      </c>
      <c r="G33" s="5">
        <v>1745</v>
      </c>
      <c r="H33" s="5">
        <v>184</v>
      </c>
      <c r="I33" s="5">
        <v>151</v>
      </c>
      <c r="J33" s="5">
        <v>478</v>
      </c>
      <c r="K33" s="5">
        <v>409</v>
      </c>
      <c r="L33" s="5">
        <v>1046</v>
      </c>
      <c r="M33" s="5">
        <v>861</v>
      </c>
      <c r="N33" s="5">
        <f t="shared" si="0"/>
        <v>18</v>
      </c>
      <c r="O33" s="5">
        <f t="shared" si="7"/>
        <v>287</v>
      </c>
      <c r="P33" s="7">
        <f t="shared" si="2"/>
        <v>63</v>
      </c>
      <c r="Q33" s="7">
        <f t="shared" si="6"/>
        <v>287</v>
      </c>
      <c r="R33" s="7">
        <v>800</v>
      </c>
      <c r="S33" s="8">
        <f t="shared" si="4"/>
        <v>1150</v>
      </c>
    </row>
    <row r="34" spans="1:19">
      <c r="A34" s="6">
        <v>45976</v>
      </c>
      <c r="B34" s="5" t="s">
        <v>88</v>
      </c>
      <c r="C34" s="5" t="s">
        <v>83</v>
      </c>
      <c r="D34" s="5">
        <v>402</v>
      </c>
      <c r="E34" s="5">
        <v>395</v>
      </c>
      <c r="F34" s="5">
        <v>1776</v>
      </c>
      <c r="G34" s="5">
        <v>1759</v>
      </c>
      <c r="H34" s="5">
        <v>219</v>
      </c>
      <c r="I34" s="5">
        <v>184</v>
      </c>
      <c r="J34" s="5">
        <v>577</v>
      </c>
      <c r="K34" s="5">
        <v>478</v>
      </c>
      <c r="L34" s="5">
        <v>1206</v>
      </c>
      <c r="M34" s="5">
        <v>1046</v>
      </c>
      <c r="N34" s="5">
        <f t="shared" si="0"/>
        <v>24</v>
      </c>
      <c r="O34" s="5">
        <f t="shared" si="7"/>
        <v>294</v>
      </c>
      <c r="P34" s="7">
        <f t="shared" si="2"/>
        <v>84</v>
      </c>
      <c r="Q34" s="7">
        <f t="shared" si="6"/>
        <v>294</v>
      </c>
      <c r="R34" s="7">
        <v>800</v>
      </c>
      <c r="S34" s="8">
        <f t="shared" si="4"/>
        <v>1178</v>
      </c>
    </row>
    <row r="35" spans="1:19">
      <c r="A35" s="6">
        <v>46006</v>
      </c>
      <c r="B35" s="5" t="s">
        <v>88</v>
      </c>
      <c r="C35" s="5" t="s">
        <v>83</v>
      </c>
      <c r="D35" s="5">
        <v>409</v>
      </c>
      <c r="E35" s="5">
        <v>402</v>
      </c>
      <c r="F35" s="5">
        <v>1795</v>
      </c>
      <c r="G35" s="5">
        <v>1776</v>
      </c>
      <c r="H35" s="5">
        <v>270</v>
      </c>
      <c r="I35" s="5">
        <v>219</v>
      </c>
      <c r="J35" s="5">
        <v>718</v>
      </c>
      <c r="K35" s="5">
        <v>577</v>
      </c>
      <c r="L35" s="5">
        <v>1379</v>
      </c>
      <c r="M35" s="5">
        <v>1206</v>
      </c>
      <c r="N35" s="5">
        <f t="shared" si="0"/>
        <v>26</v>
      </c>
      <c r="O35" s="5">
        <f t="shared" si="7"/>
        <v>365</v>
      </c>
      <c r="P35" s="7">
        <f t="shared" si="2"/>
        <v>91</v>
      </c>
      <c r="Q35" s="7">
        <f t="shared" si="6"/>
        <v>365</v>
      </c>
      <c r="R35" s="7">
        <v>800</v>
      </c>
      <c r="S35" s="8">
        <f t="shared" si="4"/>
        <v>1256</v>
      </c>
    </row>
    <row r="36" spans="1:19">
      <c r="A36" s="6">
        <v>46037</v>
      </c>
      <c r="B36" s="5" t="s">
        <v>88</v>
      </c>
      <c r="C36" s="5" t="s">
        <v>83</v>
      </c>
      <c r="D36" s="5">
        <v>415</v>
      </c>
      <c r="E36" s="5">
        <v>409</v>
      </c>
      <c r="F36" s="5">
        <v>1811</v>
      </c>
      <c r="G36" s="5">
        <v>1795</v>
      </c>
      <c r="H36" s="5">
        <v>325</v>
      </c>
      <c r="I36" s="5">
        <v>270</v>
      </c>
      <c r="J36" s="5">
        <v>916</v>
      </c>
      <c r="K36" s="5">
        <v>718</v>
      </c>
      <c r="L36" s="5">
        <v>1569</v>
      </c>
      <c r="M36" s="5">
        <v>1379</v>
      </c>
      <c r="N36" s="5">
        <f t="shared" si="0"/>
        <v>22</v>
      </c>
      <c r="O36" s="5">
        <f t="shared" si="7"/>
        <v>443</v>
      </c>
      <c r="P36" s="7">
        <f t="shared" si="2"/>
        <v>77</v>
      </c>
      <c r="Q36" s="7">
        <f t="shared" si="6"/>
        <v>443</v>
      </c>
      <c r="R36" s="7">
        <v>800</v>
      </c>
      <c r="S36" s="8">
        <f t="shared" si="4"/>
        <v>1320</v>
      </c>
    </row>
    <row r="37" spans="1:19">
      <c r="A37" s="6">
        <v>46068</v>
      </c>
      <c r="B37" s="5" t="s">
        <v>88</v>
      </c>
      <c r="C37" s="5" t="s">
        <v>83</v>
      </c>
      <c r="D37" s="5">
        <v>420</v>
      </c>
      <c r="E37" s="5">
        <v>415</v>
      </c>
      <c r="F37" s="5">
        <v>1825</v>
      </c>
      <c r="G37" s="5">
        <v>1811</v>
      </c>
      <c r="H37" s="5">
        <v>388</v>
      </c>
      <c r="I37" s="5">
        <v>325</v>
      </c>
      <c r="J37" s="5">
        <v>1129</v>
      </c>
      <c r="K37" s="5">
        <v>916</v>
      </c>
      <c r="L37" s="5">
        <v>1743</v>
      </c>
      <c r="M37" s="5">
        <v>1569</v>
      </c>
      <c r="N37" s="5">
        <f t="shared" si="0"/>
        <v>19</v>
      </c>
      <c r="O37" s="5">
        <f t="shared" si="7"/>
        <v>450</v>
      </c>
      <c r="P37" s="7">
        <f t="shared" si="2"/>
        <v>66.5</v>
      </c>
      <c r="Q37" s="7">
        <f t="shared" si="6"/>
        <v>450</v>
      </c>
      <c r="R37" s="7">
        <v>800</v>
      </c>
      <c r="S37" s="8">
        <f t="shared" si="4"/>
        <v>1316.5</v>
      </c>
    </row>
    <row r="38" spans="1:19">
      <c r="A38" s="6">
        <v>46096</v>
      </c>
      <c r="B38" s="5" t="s">
        <v>331</v>
      </c>
      <c r="C38" s="5" t="s">
        <v>332</v>
      </c>
      <c r="D38" s="5">
        <v>424</v>
      </c>
      <c r="E38" s="5">
        <v>420</v>
      </c>
      <c r="F38" s="5">
        <v>1834</v>
      </c>
      <c r="G38" s="5">
        <v>1825</v>
      </c>
      <c r="H38" s="5">
        <v>418</v>
      </c>
      <c r="I38" s="5">
        <v>388</v>
      </c>
      <c r="J38" s="5">
        <v>1210</v>
      </c>
      <c r="K38" s="5">
        <v>1129</v>
      </c>
      <c r="L38" s="5">
        <v>1860</v>
      </c>
      <c r="M38" s="5">
        <v>1743</v>
      </c>
      <c r="N38" s="5">
        <f t="shared" si="0"/>
        <v>13</v>
      </c>
      <c r="O38" s="5">
        <f t="shared" si="7"/>
        <v>228</v>
      </c>
      <c r="P38" s="7">
        <f t="shared" si="2"/>
        <v>45.5</v>
      </c>
      <c r="Q38" s="7">
        <f t="shared" si="6"/>
        <v>228</v>
      </c>
      <c r="R38" s="7">
        <v>800</v>
      </c>
      <c r="S38" s="8">
        <f t="shared" si="4"/>
        <v>1073.5</v>
      </c>
    </row>
    <row r="39" spans="1:19">
      <c r="A39" s="3" t="s">
        <v>99</v>
      </c>
      <c r="B39" s="4" t="s">
        <v>105</v>
      </c>
      <c r="C39" s="4" t="s">
        <v>105</v>
      </c>
      <c r="D39" s="4" t="s">
        <v>105</v>
      </c>
      <c r="E39" s="4" t="s">
        <v>105</v>
      </c>
      <c r="F39" s="4" t="s">
        <v>105</v>
      </c>
      <c r="G39" s="4" t="s">
        <v>105</v>
      </c>
      <c r="H39" s="4" t="s">
        <v>105</v>
      </c>
      <c r="I39" s="4" t="s">
        <v>105</v>
      </c>
      <c r="J39" s="4" t="s">
        <v>105</v>
      </c>
      <c r="K39" s="4" t="s">
        <v>105</v>
      </c>
      <c r="L39" s="4" t="s">
        <v>105</v>
      </c>
      <c r="M39" s="4" t="s">
        <v>105</v>
      </c>
      <c r="N39" s="5">
        <f>SUBTOTAL(9,N3:N38)</f>
        <v>747</v>
      </c>
      <c r="O39" s="5">
        <f t="shared" ref="O39:S39" si="8">SUBTOTAL(9,O3:O36)</f>
        <v>9219</v>
      </c>
      <c r="P39" s="7">
        <f t="shared" si="8"/>
        <v>2502.5</v>
      </c>
      <c r="Q39" s="7">
        <f t="shared" si="8"/>
        <v>9116.6</v>
      </c>
      <c r="R39" s="7">
        <f>SUBTOTAL(9,R3:R38)</f>
        <v>28000</v>
      </c>
      <c r="S39" s="10">
        <f t="shared" si="8"/>
        <v>38019.1</v>
      </c>
    </row>
    <row r="46" spans="1:19" ht="20">
      <c r="F46" s="1"/>
    </row>
  </sheetData>
  <mergeCells count="14">
    <mergeCell ref="S1:S2"/>
    <mergeCell ref="U1:U2"/>
    <mergeCell ref="J1:K1"/>
    <mergeCell ref="L1:M1"/>
    <mergeCell ref="N1:O1"/>
    <mergeCell ref="P1:P2"/>
    <mergeCell ref="Q1:Q2"/>
    <mergeCell ref="R1:R2"/>
    <mergeCell ref="H1:I1"/>
    <mergeCell ref="A1:A2"/>
    <mergeCell ref="B1:B2"/>
    <mergeCell ref="C1:C2"/>
    <mergeCell ref="D1:E1"/>
    <mergeCell ref="F1:G1"/>
  </mergeCells>
  <phoneticPr fontId="1" type="noConversion"/>
  <conditionalFormatting sqref="A1:XFD1048576">
    <cfRule type="cellIs" dxfId="16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A09D-34CF-432D-B6BE-34238070C55C}">
  <sheetPr>
    <tabColor rgb="FF00B0F0"/>
  </sheetPr>
  <dimension ref="A1:O22"/>
  <sheetViews>
    <sheetView zoomScale="120" zoomScaleNormal="120" workbookViewId="0">
      <pane ySplit="2" topLeftCell="A6" activePane="bottomLeft" state="frozen"/>
      <selection activeCell="F38" sqref="F38"/>
      <selection pane="bottomLeft" activeCell="M21" sqref="M21"/>
    </sheetView>
  </sheetViews>
  <sheetFormatPr baseColWidth="10" defaultColWidth="10.85546875" defaultRowHeight="18"/>
  <cols>
    <col min="1" max="1" width="16.855468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8" width="7.7109375" style="5" bestFit="1" customWidth="1"/>
    <col min="9" max="9" width="10.28515625" style="5" bestFit="1" customWidth="1"/>
    <col min="10" max="10" width="9.42578125" style="7" bestFit="1" customWidth="1"/>
    <col min="11" max="11" width="9.85546875" style="7" bestFit="1" customWidth="1"/>
    <col min="12" max="12" width="11.140625" style="7" bestFit="1" customWidth="1"/>
    <col min="13" max="13" width="13.42578125" style="8" bestFit="1" customWidth="1"/>
    <col min="14" max="14" width="9.42578125" style="5" bestFit="1" customWidth="1"/>
    <col min="15" max="15" width="50.140625" style="5" bestFit="1" customWidth="1"/>
    <col min="16" max="16384" width="10.85546875" style="5"/>
  </cols>
  <sheetData>
    <row r="1" spans="1:15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</row>
    <row r="2" spans="1:15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200</v>
      </c>
    </row>
    <row r="3" spans="1:15" s="22" customFormat="1">
      <c r="A3" s="6">
        <v>45383</v>
      </c>
      <c r="B3" s="5" t="s">
        <v>7</v>
      </c>
      <c r="C3" s="5" t="s">
        <v>53</v>
      </c>
      <c r="D3" s="5">
        <v>456</v>
      </c>
      <c r="E3" s="5">
        <v>452</v>
      </c>
      <c r="F3" s="5">
        <v>5454</v>
      </c>
      <c r="G3" s="5">
        <v>5409</v>
      </c>
      <c r="H3" s="5">
        <f t="shared" ref="H3:H21" si="0">D3-E3</f>
        <v>4</v>
      </c>
      <c r="I3" s="5">
        <f t="shared" ref="I3:I21" si="1">F3-G3</f>
        <v>45</v>
      </c>
      <c r="J3" s="7">
        <f t="shared" ref="J3:J21" si="2">H3*3.5</f>
        <v>14</v>
      </c>
      <c r="K3" s="7">
        <f t="shared" ref="K3:K21" si="3">I3*1</f>
        <v>45</v>
      </c>
      <c r="L3" s="7">
        <v>250</v>
      </c>
      <c r="M3" s="8">
        <f t="shared" ref="M3:M17" si="4">J3+K3+L3</f>
        <v>309</v>
      </c>
      <c r="N3" s="5"/>
      <c r="O3" s="5"/>
    </row>
    <row r="4" spans="1:15" s="22" customFormat="1">
      <c r="A4" s="6">
        <v>45413</v>
      </c>
      <c r="B4" s="5" t="s">
        <v>7</v>
      </c>
      <c r="C4" s="5" t="s">
        <v>53</v>
      </c>
      <c r="D4" s="5">
        <v>459</v>
      </c>
      <c r="E4" s="5">
        <v>456</v>
      </c>
      <c r="F4" s="5">
        <v>5505</v>
      </c>
      <c r="G4" s="5">
        <v>5454</v>
      </c>
      <c r="H4" s="5">
        <f t="shared" si="0"/>
        <v>3</v>
      </c>
      <c r="I4" s="5">
        <f t="shared" si="1"/>
        <v>51</v>
      </c>
      <c r="J4" s="7">
        <f t="shared" si="2"/>
        <v>10.5</v>
      </c>
      <c r="K4" s="7">
        <f t="shared" si="3"/>
        <v>51</v>
      </c>
      <c r="L4" s="7">
        <v>250</v>
      </c>
      <c r="M4" s="8">
        <f t="shared" si="4"/>
        <v>311.5</v>
      </c>
      <c r="N4" s="5"/>
      <c r="O4" s="5"/>
    </row>
    <row r="5" spans="1:15" s="22" customFormat="1">
      <c r="A5" s="6">
        <v>45444</v>
      </c>
      <c r="B5" s="5" t="s">
        <v>7</v>
      </c>
      <c r="C5" s="5" t="s">
        <v>53</v>
      </c>
      <c r="D5" s="5">
        <v>462</v>
      </c>
      <c r="E5" s="5">
        <v>459</v>
      </c>
      <c r="F5" s="5">
        <v>5547</v>
      </c>
      <c r="G5" s="5">
        <v>5505</v>
      </c>
      <c r="H5" s="5">
        <f t="shared" si="0"/>
        <v>3</v>
      </c>
      <c r="I5" s="5">
        <f t="shared" si="1"/>
        <v>42</v>
      </c>
      <c r="J5" s="7">
        <f t="shared" si="2"/>
        <v>10.5</v>
      </c>
      <c r="K5" s="7">
        <f t="shared" si="3"/>
        <v>42</v>
      </c>
      <c r="L5" s="7">
        <v>250</v>
      </c>
      <c r="M5" s="8">
        <f t="shared" si="4"/>
        <v>302.5</v>
      </c>
      <c r="N5" s="5"/>
      <c r="O5" s="5"/>
    </row>
    <row r="6" spans="1:15" s="22" customFormat="1">
      <c r="A6" s="6">
        <v>45474</v>
      </c>
      <c r="B6" s="5" t="s">
        <v>7</v>
      </c>
      <c r="C6" s="5" t="s">
        <v>53</v>
      </c>
      <c r="D6" s="5">
        <v>464</v>
      </c>
      <c r="E6" s="5">
        <v>462</v>
      </c>
      <c r="F6" s="5">
        <v>5610</v>
      </c>
      <c r="G6" s="5">
        <v>5547</v>
      </c>
      <c r="H6" s="5">
        <f t="shared" si="0"/>
        <v>2</v>
      </c>
      <c r="I6" s="5">
        <f t="shared" si="1"/>
        <v>63</v>
      </c>
      <c r="J6" s="7">
        <f t="shared" si="2"/>
        <v>7</v>
      </c>
      <c r="K6" s="7">
        <f t="shared" si="3"/>
        <v>63</v>
      </c>
      <c r="L6" s="7">
        <v>250</v>
      </c>
      <c r="M6" s="8">
        <f t="shared" si="4"/>
        <v>320</v>
      </c>
      <c r="N6" s="5"/>
      <c r="O6" s="5"/>
    </row>
    <row r="7" spans="1:15" s="22" customFormat="1">
      <c r="A7" s="6">
        <v>45505</v>
      </c>
      <c r="B7" s="5" t="s">
        <v>7</v>
      </c>
      <c r="C7" s="5" t="s">
        <v>53</v>
      </c>
      <c r="D7" s="5">
        <v>467</v>
      </c>
      <c r="E7" s="5">
        <v>464</v>
      </c>
      <c r="F7" s="5">
        <v>5834</v>
      </c>
      <c r="G7" s="5">
        <v>5610</v>
      </c>
      <c r="H7" s="5">
        <f t="shared" si="0"/>
        <v>3</v>
      </c>
      <c r="I7" s="5">
        <f t="shared" si="1"/>
        <v>224</v>
      </c>
      <c r="J7" s="7">
        <f t="shared" si="2"/>
        <v>10.5</v>
      </c>
      <c r="K7" s="7">
        <f t="shared" si="3"/>
        <v>224</v>
      </c>
      <c r="L7" s="7">
        <v>250</v>
      </c>
      <c r="M7" s="8">
        <f t="shared" si="4"/>
        <v>484.5</v>
      </c>
      <c r="N7" s="5"/>
      <c r="O7" s="5"/>
    </row>
    <row r="8" spans="1:15" s="22" customFormat="1">
      <c r="A8" s="6">
        <v>45536</v>
      </c>
      <c r="B8" s="5" t="s">
        <v>7</v>
      </c>
      <c r="C8" s="5" t="s">
        <v>53</v>
      </c>
      <c r="D8" s="5">
        <v>470</v>
      </c>
      <c r="E8" s="5">
        <v>467</v>
      </c>
      <c r="F8" s="5">
        <v>6015</v>
      </c>
      <c r="G8" s="5">
        <v>5834</v>
      </c>
      <c r="H8" s="5">
        <f t="shared" si="0"/>
        <v>3</v>
      </c>
      <c r="I8" s="5">
        <f t="shared" si="1"/>
        <v>181</v>
      </c>
      <c r="J8" s="7">
        <f t="shared" si="2"/>
        <v>10.5</v>
      </c>
      <c r="K8" s="7">
        <f t="shared" si="3"/>
        <v>181</v>
      </c>
      <c r="L8" s="7">
        <v>250</v>
      </c>
      <c r="M8" s="8">
        <f t="shared" si="4"/>
        <v>441.5</v>
      </c>
      <c r="N8" s="5"/>
      <c r="O8" s="5"/>
    </row>
    <row r="9" spans="1:15" s="22" customFormat="1">
      <c r="A9" s="6">
        <v>45566</v>
      </c>
      <c r="B9" s="5" t="s">
        <v>7</v>
      </c>
      <c r="C9" s="5" t="s">
        <v>53</v>
      </c>
      <c r="D9" s="5">
        <v>473</v>
      </c>
      <c r="E9" s="5">
        <v>470</v>
      </c>
      <c r="F9" s="5">
        <v>6214</v>
      </c>
      <c r="G9" s="5">
        <v>6015</v>
      </c>
      <c r="H9" s="5">
        <f t="shared" si="0"/>
        <v>3</v>
      </c>
      <c r="I9" s="5">
        <f t="shared" si="1"/>
        <v>199</v>
      </c>
      <c r="J9" s="7">
        <f t="shared" si="2"/>
        <v>10.5</v>
      </c>
      <c r="K9" s="7">
        <f t="shared" si="3"/>
        <v>199</v>
      </c>
      <c r="L9" s="7">
        <v>250</v>
      </c>
      <c r="M9" s="8">
        <f t="shared" si="4"/>
        <v>459.5</v>
      </c>
      <c r="N9" s="5"/>
      <c r="O9" s="5"/>
    </row>
    <row r="10" spans="1:15" s="22" customFormat="1">
      <c r="A10" s="6">
        <v>45597</v>
      </c>
      <c r="B10" s="5" t="s">
        <v>7</v>
      </c>
      <c r="C10" s="5" t="s">
        <v>53</v>
      </c>
      <c r="D10" s="5">
        <v>475</v>
      </c>
      <c r="E10" s="5">
        <v>473</v>
      </c>
      <c r="F10" s="5">
        <v>6283</v>
      </c>
      <c r="G10" s="5">
        <v>6214</v>
      </c>
      <c r="H10" s="5">
        <f t="shared" si="0"/>
        <v>2</v>
      </c>
      <c r="I10" s="5">
        <f t="shared" si="1"/>
        <v>69</v>
      </c>
      <c r="J10" s="7">
        <f t="shared" si="2"/>
        <v>7</v>
      </c>
      <c r="K10" s="7">
        <f t="shared" si="3"/>
        <v>69</v>
      </c>
      <c r="L10" s="7">
        <v>250</v>
      </c>
      <c r="M10" s="8">
        <f t="shared" si="4"/>
        <v>326</v>
      </c>
      <c r="N10" s="5"/>
      <c r="O10" s="5"/>
    </row>
    <row r="11" spans="1:15" s="22" customFormat="1">
      <c r="A11" s="6">
        <v>45627</v>
      </c>
      <c r="B11" s="5" t="s">
        <v>7</v>
      </c>
      <c r="C11" s="5" t="s">
        <v>53</v>
      </c>
      <c r="D11" s="5">
        <v>477</v>
      </c>
      <c r="E11" s="5">
        <v>475</v>
      </c>
      <c r="F11" s="5">
        <v>6324</v>
      </c>
      <c r="G11" s="5">
        <v>6283</v>
      </c>
      <c r="H11" s="5">
        <f t="shared" si="0"/>
        <v>2</v>
      </c>
      <c r="I11" s="5">
        <f t="shared" si="1"/>
        <v>41</v>
      </c>
      <c r="J11" s="7">
        <f t="shared" si="2"/>
        <v>7</v>
      </c>
      <c r="K11" s="7">
        <f t="shared" si="3"/>
        <v>41</v>
      </c>
      <c r="L11" s="7">
        <v>250</v>
      </c>
      <c r="M11" s="8">
        <f t="shared" si="4"/>
        <v>298</v>
      </c>
      <c r="N11" s="5"/>
      <c r="O11" s="5"/>
    </row>
    <row r="12" spans="1:15" s="22" customFormat="1">
      <c r="A12" s="6">
        <v>45658</v>
      </c>
      <c r="B12" s="5" t="s">
        <v>7</v>
      </c>
      <c r="C12" s="5" t="s">
        <v>53</v>
      </c>
      <c r="D12" s="5">
        <v>480</v>
      </c>
      <c r="E12" s="5">
        <v>477</v>
      </c>
      <c r="F12" s="5">
        <v>6377</v>
      </c>
      <c r="G12" s="5">
        <v>6324</v>
      </c>
      <c r="H12" s="5">
        <f t="shared" si="0"/>
        <v>3</v>
      </c>
      <c r="I12" s="5">
        <f t="shared" si="1"/>
        <v>53</v>
      </c>
      <c r="J12" s="7">
        <f t="shared" si="2"/>
        <v>10.5</v>
      </c>
      <c r="K12" s="7">
        <f t="shared" si="3"/>
        <v>53</v>
      </c>
      <c r="L12" s="7">
        <v>260</v>
      </c>
      <c r="M12" s="8">
        <f t="shared" si="4"/>
        <v>323.5</v>
      </c>
      <c r="N12" s="5"/>
      <c r="O12" s="5"/>
    </row>
    <row r="13" spans="1:15" s="22" customFormat="1">
      <c r="A13" s="6">
        <v>45689</v>
      </c>
      <c r="B13" s="5" t="s">
        <v>7</v>
      </c>
      <c r="C13" s="5" t="s">
        <v>53</v>
      </c>
      <c r="D13" s="5">
        <v>482</v>
      </c>
      <c r="E13" s="5">
        <v>480</v>
      </c>
      <c r="F13" s="5">
        <v>6428</v>
      </c>
      <c r="G13" s="5">
        <v>6377</v>
      </c>
      <c r="H13" s="5">
        <f t="shared" si="0"/>
        <v>2</v>
      </c>
      <c r="I13" s="5">
        <f t="shared" si="1"/>
        <v>51</v>
      </c>
      <c r="J13" s="7">
        <f t="shared" si="2"/>
        <v>7</v>
      </c>
      <c r="K13" s="7">
        <f t="shared" si="3"/>
        <v>51</v>
      </c>
      <c r="L13" s="7">
        <v>260</v>
      </c>
      <c r="M13" s="8">
        <f t="shared" si="4"/>
        <v>318</v>
      </c>
      <c r="N13" s="5"/>
      <c r="O13" s="5"/>
    </row>
    <row r="14" spans="1:15" s="22" customFormat="1">
      <c r="A14" s="6">
        <v>45717</v>
      </c>
      <c r="B14" s="5" t="s">
        <v>7</v>
      </c>
      <c r="C14" s="5" t="s">
        <v>53</v>
      </c>
      <c r="D14" s="5">
        <v>483</v>
      </c>
      <c r="E14" s="5">
        <v>482</v>
      </c>
      <c r="F14" s="5">
        <v>6471</v>
      </c>
      <c r="G14" s="5">
        <v>6428</v>
      </c>
      <c r="H14" s="5">
        <f t="shared" si="0"/>
        <v>1</v>
      </c>
      <c r="I14" s="5">
        <f t="shared" si="1"/>
        <v>43</v>
      </c>
      <c r="J14" s="7">
        <f t="shared" si="2"/>
        <v>3.5</v>
      </c>
      <c r="K14" s="7">
        <f t="shared" si="3"/>
        <v>43</v>
      </c>
      <c r="L14" s="7">
        <v>260</v>
      </c>
      <c r="M14" s="8">
        <f t="shared" si="4"/>
        <v>306.5</v>
      </c>
      <c r="N14" s="5"/>
      <c r="O14" s="5"/>
    </row>
    <row r="15" spans="1:15" s="22" customFormat="1">
      <c r="A15" s="6">
        <v>45748</v>
      </c>
      <c r="B15" s="5" t="s">
        <v>7</v>
      </c>
      <c r="C15" s="5" t="s">
        <v>53</v>
      </c>
      <c r="D15" s="5"/>
      <c r="E15" s="5"/>
      <c r="F15" s="5"/>
      <c r="G15" s="5"/>
      <c r="H15" s="5">
        <f t="shared" si="0"/>
        <v>0</v>
      </c>
      <c r="I15" s="5">
        <f t="shared" si="1"/>
        <v>0</v>
      </c>
      <c r="J15" s="7">
        <f t="shared" si="2"/>
        <v>0</v>
      </c>
      <c r="K15" s="7">
        <f t="shared" si="3"/>
        <v>0</v>
      </c>
      <c r="L15" s="7">
        <v>260</v>
      </c>
      <c r="M15" s="8">
        <f t="shared" si="4"/>
        <v>260</v>
      </c>
      <c r="N15" s="5"/>
      <c r="O15" s="5"/>
    </row>
    <row r="16" spans="1:15" s="22" customFormat="1">
      <c r="A16" s="6">
        <v>45778</v>
      </c>
      <c r="B16" s="5" t="s">
        <v>7</v>
      </c>
      <c r="C16" s="5" t="s">
        <v>53</v>
      </c>
      <c r="D16" s="5">
        <v>486</v>
      </c>
      <c r="E16" s="5">
        <v>483</v>
      </c>
      <c r="F16" s="5">
        <v>6562</v>
      </c>
      <c r="G16" s="5">
        <v>6471</v>
      </c>
      <c r="H16" s="5">
        <f t="shared" si="0"/>
        <v>3</v>
      </c>
      <c r="I16" s="5">
        <f t="shared" si="1"/>
        <v>91</v>
      </c>
      <c r="J16" s="7">
        <f t="shared" si="2"/>
        <v>10.5</v>
      </c>
      <c r="K16" s="7">
        <f t="shared" si="3"/>
        <v>91</v>
      </c>
      <c r="L16" s="7">
        <v>260</v>
      </c>
      <c r="M16" s="8">
        <f t="shared" si="4"/>
        <v>361.5</v>
      </c>
      <c r="N16" s="5"/>
      <c r="O16" s="5"/>
    </row>
    <row r="17" spans="1:15" s="22" customFormat="1">
      <c r="A17" s="6">
        <v>45809</v>
      </c>
      <c r="B17" s="5" t="s">
        <v>7</v>
      </c>
      <c r="C17" s="5" t="s">
        <v>53</v>
      </c>
      <c r="D17" s="5"/>
      <c r="E17" s="5"/>
      <c r="F17" s="5"/>
      <c r="G17" s="5"/>
      <c r="H17" s="5">
        <f t="shared" si="0"/>
        <v>0</v>
      </c>
      <c r="I17" s="5">
        <f t="shared" si="1"/>
        <v>0</v>
      </c>
      <c r="J17" s="7">
        <f t="shared" si="2"/>
        <v>0</v>
      </c>
      <c r="K17" s="7">
        <f t="shared" si="3"/>
        <v>0</v>
      </c>
      <c r="L17" s="7">
        <v>260</v>
      </c>
      <c r="M17" s="8">
        <f t="shared" si="4"/>
        <v>260</v>
      </c>
      <c r="N17" s="5"/>
      <c r="O17" s="5"/>
    </row>
    <row r="18" spans="1:15" s="22" customFormat="1">
      <c r="A18" s="6">
        <v>45839</v>
      </c>
      <c r="B18" s="5" t="s">
        <v>7</v>
      </c>
      <c r="C18" s="5" t="s">
        <v>53</v>
      </c>
      <c r="D18" s="5">
        <v>494</v>
      </c>
      <c r="E18" s="5">
        <v>486</v>
      </c>
      <c r="F18" s="5">
        <v>213</v>
      </c>
      <c r="G18" s="5">
        <v>0</v>
      </c>
      <c r="H18" s="5">
        <f t="shared" si="0"/>
        <v>8</v>
      </c>
      <c r="I18" s="5">
        <f t="shared" si="1"/>
        <v>213</v>
      </c>
      <c r="J18" s="7">
        <f t="shared" si="2"/>
        <v>28</v>
      </c>
      <c r="K18" s="7">
        <f t="shared" si="3"/>
        <v>213</v>
      </c>
      <c r="L18" s="7">
        <v>260</v>
      </c>
      <c r="M18" s="8">
        <f>J18+K18+L18</f>
        <v>501</v>
      </c>
      <c r="N18" s="5"/>
      <c r="O18" s="5" t="s">
        <v>158</v>
      </c>
    </row>
    <row r="19" spans="1:15" s="22" customFormat="1">
      <c r="A19" s="6">
        <v>45861</v>
      </c>
      <c r="B19" s="5" t="s">
        <v>114</v>
      </c>
      <c r="C19" s="5" t="s">
        <v>299</v>
      </c>
      <c r="D19" s="5">
        <v>494</v>
      </c>
      <c r="E19" s="5">
        <v>494</v>
      </c>
      <c r="F19" s="5">
        <v>219</v>
      </c>
      <c r="G19" s="5">
        <v>213</v>
      </c>
      <c r="H19" s="5">
        <f t="shared" si="0"/>
        <v>0</v>
      </c>
      <c r="I19" s="5">
        <f t="shared" si="1"/>
        <v>6</v>
      </c>
      <c r="J19" s="7">
        <f t="shared" si="2"/>
        <v>0</v>
      </c>
      <c r="K19" s="7">
        <f t="shared" si="3"/>
        <v>6</v>
      </c>
      <c r="L19" s="7">
        <v>260</v>
      </c>
      <c r="M19" s="8">
        <f>J19+K19+L19</f>
        <v>266</v>
      </c>
      <c r="N19" s="5"/>
      <c r="O19" s="5" t="s">
        <v>300</v>
      </c>
    </row>
    <row r="20" spans="1:15" s="22" customFormat="1">
      <c r="A20" s="6">
        <v>46082</v>
      </c>
      <c r="B20" s="5" t="s">
        <v>114</v>
      </c>
      <c r="C20" s="5" t="s">
        <v>301</v>
      </c>
      <c r="D20" s="5">
        <v>496</v>
      </c>
      <c r="E20" s="5">
        <v>496</v>
      </c>
      <c r="F20" s="5">
        <v>232</v>
      </c>
      <c r="G20" s="5">
        <v>232</v>
      </c>
      <c r="H20" s="5">
        <f t="shared" si="0"/>
        <v>0</v>
      </c>
      <c r="I20" s="5">
        <f t="shared" si="1"/>
        <v>0</v>
      </c>
      <c r="J20" s="7">
        <f t="shared" si="2"/>
        <v>0</v>
      </c>
      <c r="K20" s="7">
        <f t="shared" si="3"/>
        <v>0</v>
      </c>
      <c r="L20" s="7">
        <v>300</v>
      </c>
      <c r="M20" s="8">
        <f>J20+K20+L20</f>
        <v>300</v>
      </c>
      <c r="N20" s="5"/>
      <c r="O20" s="5"/>
    </row>
    <row r="21" spans="1:15" s="22" customFormat="1">
      <c r="A21" s="6">
        <v>46114</v>
      </c>
      <c r="B21" s="5" t="s">
        <v>340</v>
      </c>
      <c r="C21" s="5" t="s">
        <v>341</v>
      </c>
      <c r="D21" s="5">
        <v>499</v>
      </c>
      <c r="E21" s="5">
        <v>496</v>
      </c>
      <c r="F21" s="5">
        <v>266</v>
      </c>
      <c r="G21" s="5">
        <v>232</v>
      </c>
      <c r="H21" s="5">
        <f t="shared" si="0"/>
        <v>3</v>
      </c>
      <c r="I21" s="5">
        <f t="shared" si="1"/>
        <v>34</v>
      </c>
      <c r="J21" s="7">
        <f t="shared" si="2"/>
        <v>10.5</v>
      </c>
      <c r="K21" s="7">
        <f t="shared" si="3"/>
        <v>34</v>
      </c>
      <c r="L21" s="7">
        <v>300</v>
      </c>
      <c r="M21" s="8">
        <f>J21+K21+L21</f>
        <v>344.5</v>
      </c>
      <c r="N21" s="5"/>
      <c r="O21" s="5"/>
    </row>
    <row r="22" spans="1:15">
      <c r="A22" s="3" t="s">
        <v>99</v>
      </c>
      <c r="B22" s="4" t="s">
        <v>105</v>
      </c>
      <c r="C22" s="4" t="s">
        <v>105</v>
      </c>
      <c r="D22" s="4" t="s">
        <v>105</v>
      </c>
      <c r="E22" s="4" t="s">
        <v>105</v>
      </c>
      <c r="F22" s="4" t="s">
        <v>105</v>
      </c>
      <c r="G22" s="4" t="s">
        <v>105</v>
      </c>
      <c r="H22" s="7">
        <f t="shared" ref="H22:M22" si="5">SUBTOTAL(9,H3:H21)</f>
        <v>45</v>
      </c>
      <c r="I22" s="7">
        <f t="shared" si="5"/>
        <v>1406</v>
      </c>
      <c r="J22" s="7">
        <f t="shared" si="5"/>
        <v>157.5</v>
      </c>
      <c r="K22" s="7">
        <f t="shared" si="5"/>
        <v>1406</v>
      </c>
      <c r="L22" s="7">
        <f t="shared" si="5"/>
        <v>4930</v>
      </c>
      <c r="M22" s="7">
        <f t="shared" si="5"/>
        <v>6493.5</v>
      </c>
    </row>
  </sheetData>
  <mergeCells count="10">
    <mergeCell ref="J1:J2"/>
    <mergeCell ref="K1:K2"/>
    <mergeCell ref="L1:L2"/>
    <mergeCell ref="M1:M2"/>
    <mergeCell ref="A1:A2"/>
    <mergeCell ref="B1:B2"/>
    <mergeCell ref="C1:C2"/>
    <mergeCell ref="D1:E1"/>
    <mergeCell ref="F1:G1"/>
    <mergeCell ref="H1:I1"/>
  </mergeCells>
  <phoneticPr fontId="1" type="noConversion"/>
  <conditionalFormatting sqref="A1:XFD1048576">
    <cfRule type="cellIs" dxfId="15" priority="1" operator="equal">
      <formula>0</formula>
    </cfRule>
  </conditionalFormatting>
  <conditionalFormatting sqref="N3:N21">
    <cfRule type="cellIs" dxfId="14" priority="2" operator="equal">
      <formula>"完成"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O55"/>
  <sheetViews>
    <sheetView topLeftCell="B1" zoomScale="120" zoomScaleNormal="120" workbookViewId="0">
      <pane ySplit="2" topLeftCell="A30" activePane="bottomLeft" state="frozen"/>
      <selection activeCell="F38" sqref="F38"/>
      <selection pane="bottomLeft" activeCell="M54" sqref="A54:XFD54"/>
    </sheetView>
  </sheetViews>
  <sheetFormatPr baseColWidth="10" defaultColWidth="10.85546875" defaultRowHeight="18"/>
  <cols>
    <col min="1" max="1" width="16.855468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1" width="9.85546875" style="7" bestFit="1" customWidth="1"/>
    <col min="12" max="12" width="11.140625" style="7" bestFit="1" customWidth="1"/>
    <col min="13" max="13" width="13.42578125" style="8" bestFit="1" customWidth="1"/>
    <col min="14" max="14" width="9.42578125" style="5" bestFit="1" customWidth="1"/>
    <col min="15" max="15" width="50.140625" style="5" bestFit="1" customWidth="1"/>
    <col min="16" max="16384" width="10.85546875" style="5"/>
  </cols>
  <sheetData>
    <row r="1" spans="1:14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</row>
    <row r="2" spans="1:14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200</v>
      </c>
    </row>
    <row r="3" spans="1:14">
      <c r="A3" s="6">
        <v>44565</v>
      </c>
      <c r="B3" s="5" t="s">
        <v>8</v>
      </c>
      <c r="C3" s="5" t="s">
        <v>54</v>
      </c>
      <c r="D3" s="5">
        <v>1008</v>
      </c>
      <c r="E3" s="5">
        <v>1008</v>
      </c>
      <c r="F3" s="5">
        <v>3202</v>
      </c>
      <c r="G3" s="5">
        <v>3202</v>
      </c>
      <c r="H3" s="5">
        <f t="shared" ref="H3:H29" si="0">D3-E3</f>
        <v>0</v>
      </c>
      <c r="I3" s="5">
        <f t="shared" ref="I3:I29" si="1">F3-G3</f>
        <v>0</v>
      </c>
      <c r="J3" s="7">
        <f t="shared" ref="J3:J29" si="2">H3*3.5</f>
        <v>0</v>
      </c>
      <c r="K3" s="7">
        <f t="shared" ref="K3:K21" si="3">I3*0.9</f>
        <v>0</v>
      </c>
      <c r="L3" s="7">
        <v>260</v>
      </c>
      <c r="M3" s="8">
        <f t="shared" ref="M3:M29" si="4">J3+K3+L3</f>
        <v>260</v>
      </c>
    </row>
    <row r="4" spans="1:14">
      <c r="A4" s="6">
        <v>44596</v>
      </c>
      <c r="B4" s="5" t="s">
        <v>8</v>
      </c>
      <c r="C4" s="5" t="s">
        <v>54</v>
      </c>
      <c r="D4" s="5">
        <v>1012</v>
      </c>
      <c r="E4" s="5">
        <v>1008</v>
      </c>
      <c r="F4" s="5">
        <v>3225</v>
      </c>
      <c r="G4" s="5">
        <v>3202</v>
      </c>
      <c r="H4" s="5">
        <f t="shared" si="0"/>
        <v>4</v>
      </c>
      <c r="I4" s="5">
        <f t="shared" si="1"/>
        <v>23</v>
      </c>
      <c r="J4" s="7">
        <f t="shared" si="2"/>
        <v>14</v>
      </c>
      <c r="K4" s="7">
        <f t="shared" si="3"/>
        <v>20.7</v>
      </c>
      <c r="L4" s="7">
        <v>260</v>
      </c>
      <c r="M4" s="8">
        <f t="shared" si="4"/>
        <v>294.7</v>
      </c>
    </row>
    <row r="5" spans="1:14">
      <c r="A5" s="6">
        <v>44624</v>
      </c>
      <c r="B5" s="5" t="s">
        <v>8</v>
      </c>
      <c r="C5" s="5" t="s">
        <v>54</v>
      </c>
      <c r="D5" s="5">
        <v>0</v>
      </c>
      <c r="E5" s="5">
        <v>0</v>
      </c>
      <c r="F5" s="5">
        <v>3257</v>
      </c>
      <c r="G5" s="5">
        <v>3225</v>
      </c>
      <c r="H5" s="5">
        <f t="shared" si="0"/>
        <v>0</v>
      </c>
      <c r="I5" s="5">
        <f t="shared" si="1"/>
        <v>32</v>
      </c>
      <c r="J5" s="7">
        <f t="shared" si="2"/>
        <v>0</v>
      </c>
      <c r="K5" s="7">
        <f t="shared" si="3"/>
        <v>28.8</v>
      </c>
      <c r="L5" s="7">
        <v>260</v>
      </c>
      <c r="M5" s="8">
        <f t="shared" si="4"/>
        <v>288.8</v>
      </c>
    </row>
    <row r="6" spans="1:14">
      <c r="A6" s="6">
        <v>44655</v>
      </c>
      <c r="B6" s="5" t="s">
        <v>8</v>
      </c>
      <c r="C6" s="5" t="s">
        <v>54</v>
      </c>
      <c r="D6" s="5">
        <v>1014</v>
      </c>
      <c r="E6" s="5">
        <v>1012</v>
      </c>
      <c r="F6" s="5">
        <v>3262</v>
      </c>
      <c r="G6" s="5">
        <v>3257</v>
      </c>
      <c r="H6" s="5">
        <f t="shared" ref="H6:H24" si="5">D6-E6</f>
        <v>2</v>
      </c>
      <c r="I6" s="5">
        <f t="shared" ref="I6:I24" si="6">F6-G6</f>
        <v>5</v>
      </c>
      <c r="J6" s="7">
        <f t="shared" ref="J6:J24" si="7">H6*3.5</f>
        <v>7</v>
      </c>
      <c r="K6" s="7">
        <f t="shared" si="3"/>
        <v>4.5</v>
      </c>
      <c r="L6" s="7">
        <v>260</v>
      </c>
      <c r="M6" s="8">
        <f t="shared" ref="M6:M24" si="8">J6+K6+L6</f>
        <v>271.5</v>
      </c>
    </row>
    <row r="7" spans="1:14">
      <c r="A7" s="6">
        <v>44685</v>
      </c>
      <c r="B7" s="5" t="s">
        <v>8</v>
      </c>
      <c r="C7" s="5" t="s">
        <v>54</v>
      </c>
      <c r="D7" s="5">
        <v>1016</v>
      </c>
      <c r="E7" s="5">
        <v>1014</v>
      </c>
      <c r="F7" s="5">
        <v>3285</v>
      </c>
      <c r="G7" s="5">
        <v>3262</v>
      </c>
      <c r="H7" s="5">
        <f t="shared" si="5"/>
        <v>2</v>
      </c>
      <c r="I7" s="5">
        <f t="shared" si="6"/>
        <v>23</v>
      </c>
      <c r="J7" s="7">
        <f t="shared" si="7"/>
        <v>7</v>
      </c>
      <c r="K7" s="7">
        <f t="shared" si="3"/>
        <v>20.7</v>
      </c>
      <c r="L7" s="7">
        <v>260</v>
      </c>
      <c r="M7" s="8">
        <f t="shared" si="8"/>
        <v>287.7</v>
      </c>
    </row>
    <row r="8" spans="1:14">
      <c r="A8" s="6">
        <v>44716</v>
      </c>
      <c r="B8" s="5" t="s">
        <v>8</v>
      </c>
      <c r="C8" s="5" t="s">
        <v>54</v>
      </c>
      <c r="D8" s="5">
        <v>1018</v>
      </c>
      <c r="E8" s="5">
        <v>1016</v>
      </c>
      <c r="F8" s="5">
        <v>3334</v>
      </c>
      <c r="G8" s="5">
        <v>3285</v>
      </c>
      <c r="H8" s="5">
        <f t="shared" si="5"/>
        <v>2</v>
      </c>
      <c r="I8" s="5">
        <f t="shared" si="6"/>
        <v>49</v>
      </c>
      <c r="J8" s="7">
        <f t="shared" si="7"/>
        <v>7</v>
      </c>
      <c r="K8" s="7">
        <f t="shared" si="3"/>
        <v>44.1</v>
      </c>
      <c r="L8" s="7">
        <v>260</v>
      </c>
      <c r="M8" s="8">
        <f t="shared" si="8"/>
        <v>311.10000000000002</v>
      </c>
    </row>
    <row r="9" spans="1:14">
      <c r="A9" s="6">
        <v>44746</v>
      </c>
      <c r="B9" s="5" t="s">
        <v>8</v>
      </c>
      <c r="C9" s="5" t="s">
        <v>54</v>
      </c>
      <c r="D9" s="5">
        <v>0</v>
      </c>
      <c r="E9" s="5">
        <v>0</v>
      </c>
      <c r="F9" s="5">
        <v>3403</v>
      </c>
      <c r="G9" s="5">
        <v>3334</v>
      </c>
      <c r="H9" s="5">
        <f t="shared" si="5"/>
        <v>0</v>
      </c>
      <c r="I9" s="5">
        <f t="shared" si="6"/>
        <v>69</v>
      </c>
      <c r="J9" s="7">
        <f t="shared" si="7"/>
        <v>0</v>
      </c>
      <c r="K9" s="7">
        <f t="shared" si="3"/>
        <v>62.1</v>
      </c>
      <c r="L9" s="7">
        <v>260</v>
      </c>
      <c r="M9" s="8">
        <f t="shared" si="8"/>
        <v>322.10000000000002</v>
      </c>
    </row>
    <row r="10" spans="1:14">
      <c r="A10" s="6">
        <v>44777</v>
      </c>
      <c r="B10" s="5" t="s">
        <v>8</v>
      </c>
      <c r="C10" s="5" t="s">
        <v>54</v>
      </c>
      <c r="D10" s="5">
        <v>0</v>
      </c>
      <c r="E10" s="5">
        <v>0</v>
      </c>
      <c r="F10" s="5">
        <v>3449</v>
      </c>
      <c r="G10" s="5">
        <v>3403</v>
      </c>
      <c r="H10" s="5">
        <f t="shared" si="5"/>
        <v>0</v>
      </c>
      <c r="I10" s="5">
        <f t="shared" si="6"/>
        <v>46</v>
      </c>
      <c r="J10" s="7">
        <f t="shared" si="7"/>
        <v>0</v>
      </c>
      <c r="K10" s="7">
        <f t="shared" si="3"/>
        <v>41.4</v>
      </c>
      <c r="L10" s="7">
        <v>260</v>
      </c>
      <c r="M10" s="8">
        <f t="shared" si="8"/>
        <v>301.39999999999998</v>
      </c>
    </row>
    <row r="11" spans="1:14">
      <c r="A11" s="6">
        <v>44808</v>
      </c>
      <c r="B11" s="5" t="s">
        <v>8</v>
      </c>
      <c r="C11" s="5" t="s">
        <v>54</v>
      </c>
      <c r="D11" s="5">
        <v>1020</v>
      </c>
      <c r="E11" s="5">
        <v>1018</v>
      </c>
      <c r="F11" s="5">
        <v>3505</v>
      </c>
      <c r="G11" s="5">
        <v>3449</v>
      </c>
      <c r="H11" s="5">
        <f t="shared" si="5"/>
        <v>2</v>
      </c>
      <c r="I11" s="5">
        <f t="shared" si="6"/>
        <v>56</v>
      </c>
      <c r="J11" s="7">
        <f t="shared" si="7"/>
        <v>7</v>
      </c>
      <c r="K11" s="7">
        <f t="shared" si="3"/>
        <v>50.4</v>
      </c>
      <c r="L11" s="7">
        <v>260</v>
      </c>
      <c r="M11" s="8">
        <f t="shared" si="8"/>
        <v>317.39999999999998</v>
      </c>
    </row>
    <row r="12" spans="1:14">
      <c r="A12" s="6">
        <v>44838</v>
      </c>
      <c r="B12" s="5" t="s">
        <v>8</v>
      </c>
      <c r="C12" s="5" t="s">
        <v>54</v>
      </c>
      <c r="D12" s="5">
        <v>1022</v>
      </c>
      <c r="E12" s="5">
        <v>1020</v>
      </c>
      <c r="F12" s="5">
        <v>3556</v>
      </c>
      <c r="G12" s="5">
        <v>3505</v>
      </c>
      <c r="H12" s="5">
        <f t="shared" si="5"/>
        <v>2</v>
      </c>
      <c r="I12" s="5">
        <f t="shared" si="6"/>
        <v>51</v>
      </c>
      <c r="J12" s="7">
        <f t="shared" si="7"/>
        <v>7</v>
      </c>
      <c r="K12" s="7">
        <f t="shared" si="3"/>
        <v>45.9</v>
      </c>
      <c r="L12" s="7">
        <v>260</v>
      </c>
      <c r="M12" s="8">
        <f t="shared" si="8"/>
        <v>312.89999999999998</v>
      </c>
    </row>
    <row r="13" spans="1:14">
      <c r="A13" s="6">
        <v>44869</v>
      </c>
      <c r="B13" s="5" t="s">
        <v>8</v>
      </c>
      <c r="C13" s="5" t="s">
        <v>54</v>
      </c>
      <c r="D13" s="5">
        <v>1024</v>
      </c>
      <c r="E13" s="5">
        <v>1022</v>
      </c>
      <c r="F13" s="5">
        <v>3597</v>
      </c>
      <c r="G13" s="5">
        <v>3556</v>
      </c>
      <c r="H13" s="5">
        <f t="shared" si="5"/>
        <v>2</v>
      </c>
      <c r="I13" s="5">
        <f t="shared" si="6"/>
        <v>41</v>
      </c>
      <c r="J13" s="7">
        <f t="shared" si="7"/>
        <v>7</v>
      </c>
      <c r="K13" s="7">
        <f t="shared" si="3"/>
        <v>36.9</v>
      </c>
      <c r="L13" s="7">
        <v>260</v>
      </c>
      <c r="M13" s="8">
        <f t="shared" si="8"/>
        <v>303.89999999999998</v>
      </c>
    </row>
    <row r="14" spans="1:14">
      <c r="A14" s="6">
        <v>44899</v>
      </c>
      <c r="B14" s="5" t="s">
        <v>8</v>
      </c>
      <c r="C14" s="5" t="s">
        <v>54</v>
      </c>
      <c r="D14" s="5">
        <v>1026</v>
      </c>
      <c r="E14" s="5">
        <v>1024</v>
      </c>
      <c r="F14" s="5">
        <v>3620</v>
      </c>
      <c r="G14" s="5">
        <v>3597</v>
      </c>
      <c r="H14" s="5">
        <f t="shared" si="5"/>
        <v>2</v>
      </c>
      <c r="I14" s="5">
        <f t="shared" si="6"/>
        <v>23</v>
      </c>
      <c r="J14" s="7">
        <f t="shared" si="7"/>
        <v>7</v>
      </c>
      <c r="K14" s="7">
        <f t="shared" si="3"/>
        <v>20.7</v>
      </c>
      <c r="L14" s="7">
        <v>260</v>
      </c>
      <c r="M14" s="8">
        <f t="shared" si="8"/>
        <v>287.7</v>
      </c>
    </row>
    <row r="15" spans="1:14">
      <c r="A15" s="6">
        <v>44930</v>
      </c>
      <c r="B15" s="5" t="s">
        <v>8</v>
      </c>
      <c r="C15" s="5" t="s">
        <v>54</v>
      </c>
      <c r="D15" s="5">
        <v>1028</v>
      </c>
      <c r="E15" s="5">
        <v>1026</v>
      </c>
      <c r="F15" s="5">
        <v>3637</v>
      </c>
      <c r="G15" s="5">
        <v>3620</v>
      </c>
      <c r="H15" s="5">
        <f t="shared" si="5"/>
        <v>2</v>
      </c>
      <c r="I15" s="5">
        <f t="shared" si="6"/>
        <v>17</v>
      </c>
      <c r="J15" s="7">
        <f t="shared" si="7"/>
        <v>7</v>
      </c>
      <c r="K15" s="7">
        <f t="shared" si="3"/>
        <v>15.3</v>
      </c>
      <c r="L15" s="7">
        <v>260</v>
      </c>
      <c r="M15" s="8">
        <f t="shared" si="8"/>
        <v>282.3</v>
      </c>
    </row>
    <row r="16" spans="1:14">
      <c r="A16" s="6">
        <v>44961</v>
      </c>
      <c r="B16" s="5" t="s">
        <v>8</v>
      </c>
      <c r="C16" s="5" t="s">
        <v>54</v>
      </c>
      <c r="D16" s="5">
        <v>0</v>
      </c>
      <c r="E16" s="5">
        <v>0</v>
      </c>
      <c r="F16" s="5">
        <v>3645</v>
      </c>
      <c r="G16" s="5">
        <v>3637</v>
      </c>
      <c r="H16" s="5">
        <f t="shared" si="5"/>
        <v>0</v>
      </c>
      <c r="I16" s="5">
        <f t="shared" si="6"/>
        <v>8</v>
      </c>
      <c r="J16" s="7">
        <f t="shared" si="7"/>
        <v>0</v>
      </c>
      <c r="K16" s="7">
        <f t="shared" si="3"/>
        <v>7.2</v>
      </c>
      <c r="L16" s="7">
        <v>260</v>
      </c>
      <c r="M16" s="8">
        <f t="shared" si="8"/>
        <v>267.2</v>
      </c>
    </row>
    <row r="17" spans="1:13">
      <c r="A17" s="6">
        <v>44989</v>
      </c>
      <c r="B17" s="5" t="s">
        <v>8</v>
      </c>
      <c r="C17" s="5" t="s">
        <v>54</v>
      </c>
      <c r="D17" s="5">
        <v>1030</v>
      </c>
      <c r="E17" s="5">
        <v>1028</v>
      </c>
      <c r="F17" s="5">
        <v>3657</v>
      </c>
      <c r="G17" s="5">
        <v>3645</v>
      </c>
      <c r="H17" s="5">
        <f t="shared" si="5"/>
        <v>2</v>
      </c>
      <c r="I17" s="5">
        <f t="shared" si="6"/>
        <v>12</v>
      </c>
      <c r="J17" s="7">
        <f t="shared" si="7"/>
        <v>7</v>
      </c>
      <c r="K17" s="7">
        <f t="shared" si="3"/>
        <v>10.8</v>
      </c>
      <c r="L17" s="7">
        <v>260</v>
      </c>
      <c r="M17" s="8">
        <f t="shared" si="8"/>
        <v>277.8</v>
      </c>
    </row>
    <row r="18" spans="1:13">
      <c r="A18" s="6">
        <v>45020</v>
      </c>
      <c r="B18" s="5" t="s">
        <v>8</v>
      </c>
      <c r="C18" s="5" t="s">
        <v>54</v>
      </c>
      <c r="D18" s="5">
        <v>1032</v>
      </c>
      <c r="E18" s="5">
        <v>1030</v>
      </c>
      <c r="F18" s="5">
        <v>3679</v>
      </c>
      <c r="G18" s="5">
        <v>3657</v>
      </c>
      <c r="H18" s="5">
        <f t="shared" si="5"/>
        <v>2</v>
      </c>
      <c r="I18" s="5">
        <f t="shared" si="6"/>
        <v>22</v>
      </c>
      <c r="J18" s="7">
        <f t="shared" si="7"/>
        <v>7</v>
      </c>
      <c r="K18" s="7">
        <f t="shared" si="3"/>
        <v>19.8</v>
      </c>
      <c r="L18" s="7">
        <v>260</v>
      </c>
      <c r="M18" s="8">
        <f t="shared" si="8"/>
        <v>286.8</v>
      </c>
    </row>
    <row r="19" spans="1:13">
      <c r="A19" s="6">
        <v>45050</v>
      </c>
      <c r="B19" s="5" t="s">
        <v>8</v>
      </c>
      <c r="C19" s="5" t="s">
        <v>54</v>
      </c>
      <c r="D19" s="5">
        <v>0</v>
      </c>
      <c r="E19" s="5">
        <v>0</v>
      </c>
      <c r="F19" s="5">
        <v>3693</v>
      </c>
      <c r="G19" s="5">
        <v>3679</v>
      </c>
      <c r="H19" s="5">
        <f t="shared" si="5"/>
        <v>0</v>
      </c>
      <c r="I19" s="5">
        <f t="shared" si="6"/>
        <v>14</v>
      </c>
      <c r="J19" s="7">
        <f t="shared" si="7"/>
        <v>0</v>
      </c>
      <c r="K19" s="7">
        <f t="shared" si="3"/>
        <v>12.6</v>
      </c>
      <c r="L19" s="7">
        <v>260</v>
      </c>
      <c r="M19" s="8">
        <f t="shared" si="8"/>
        <v>272.60000000000002</v>
      </c>
    </row>
    <row r="20" spans="1:13">
      <c r="A20" s="6">
        <v>45081</v>
      </c>
      <c r="B20" s="5" t="s">
        <v>8</v>
      </c>
      <c r="C20" s="5" t="s">
        <v>54</v>
      </c>
      <c r="D20" s="5">
        <v>0</v>
      </c>
      <c r="E20" s="5">
        <v>0</v>
      </c>
      <c r="F20" s="5">
        <v>3742</v>
      </c>
      <c r="G20" s="5">
        <v>3693</v>
      </c>
      <c r="H20" s="5">
        <f t="shared" si="5"/>
        <v>0</v>
      </c>
      <c r="I20" s="5">
        <f t="shared" si="6"/>
        <v>49</v>
      </c>
      <c r="J20" s="7">
        <f t="shared" si="7"/>
        <v>0</v>
      </c>
      <c r="K20" s="7">
        <f t="shared" si="3"/>
        <v>44.1</v>
      </c>
      <c r="L20" s="7">
        <v>260</v>
      </c>
      <c r="M20" s="8">
        <f t="shared" si="8"/>
        <v>304.10000000000002</v>
      </c>
    </row>
    <row r="21" spans="1:13">
      <c r="A21" s="6">
        <v>45111</v>
      </c>
      <c r="B21" s="5" t="s">
        <v>8</v>
      </c>
      <c r="C21" s="5" t="s">
        <v>54</v>
      </c>
      <c r="D21" s="5">
        <v>1034</v>
      </c>
      <c r="E21" s="5">
        <v>1032</v>
      </c>
      <c r="F21" s="5">
        <v>3742</v>
      </c>
      <c r="G21" s="5">
        <v>3721</v>
      </c>
      <c r="H21" s="5">
        <f t="shared" si="5"/>
        <v>2</v>
      </c>
      <c r="I21" s="5">
        <f t="shared" si="6"/>
        <v>21</v>
      </c>
      <c r="J21" s="7">
        <f t="shared" si="7"/>
        <v>7</v>
      </c>
      <c r="K21" s="7">
        <f t="shared" si="3"/>
        <v>18.900000000000002</v>
      </c>
      <c r="L21" s="7">
        <v>260</v>
      </c>
      <c r="M21" s="8">
        <f t="shared" si="8"/>
        <v>285.89999999999998</v>
      </c>
    </row>
    <row r="22" spans="1:13">
      <c r="A22" s="6">
        <v>45142</v>
      </c>
      <c r="B22" s="5" t="s">
        <v>8</v>
      </c>
      <c r="C22" s="5" t="s">
        <v>54</v>
      </c>
      <c r="D22" s="5">
        <v>0</v>
      </c>
      <c r="E22" s="5">
        <v>0</v>
      </c>
      <c r="F22" s="5">
        <v>3774</v>
      </c>
      <c r="G22" s="5">
        <v>3742</v>
      </c>
      <c r="H22" s="5">
        <f t="shared" si="5"/>
        <v>0</v>
      </c>
      <c r="I22" s="5">
        <f t="shared" si="6"/>
        <v>32</v>
      </c>
      <c r="J22" s="7">
        <f t="shared" si="7"/>
        <v>0</v>
      </c>
      <c r="K22" s="7">
        <f>I22*0.9</f>
        <v>28.8</v>
      </c>
      <c r="L22" s="7">
        <v>260</v>
      </c>
      <c r="M22" s="8">
        <f t="shared" si="8"/>
        <v>288.8</v>
      </c>
    </row>
    <row r="23" spans="1:13">
      <c r="A23" s="6">
        <v>45173</v>
      </c>
      <c r="B23" s="5" t="s">
        <v>8</v>
      </c>
      <c r="C23" s="5" t="s">
        <v>54</v>
      </c>
      <c r="D23" s="5">
        <v>0</v>
      </c>
      <c r="E23" s="5">
        <v>0</v>
      </c>
      <c r="F23" s="5">
        <v>3811</v>
      </c>
      <c r="G23" s="5">
        <v>3774</v>
      </c>
      <c r="H23" s="5">
        <f t="shared" si="5"/>
        <v>0</v>
      </c>
      <c r="I23" s="5">
        <f t="shared" si="6"/>
        <v>37</v>
      </c>
      <c r="J23" s="7">
        <f t="shared" si="7"/>
        <v>0</v>
      </c>
      <c r="K23" s="7">
        <f t="shared" ref="K23:K24" si="9">I23*1</f>
        <v>37</v>
      </c>
      <c r="L23" s="7">
        <v>260</v>
      </c>
      <c r="M23" s="8">
        <f t="shared" si="8"/>
        <v>297</v>
      </c>
    </row>
    <row r="24" spans="1:13">
      <c r="A24" s="6">
        <v>45203</v>
      </c>
      <c r="B24" s="5" t="s">
        <v>8</v>
      </c>
      <c r="C24" s="5" t="s">
        <v>54</v>
      </c>
      <c r="D24" s="5">
        <v>1036</v>
      </c>
      <c r="E24" s="5">
        <v>1034</v>
      </c>
      <c r="F24" s="5">
        <v>3853</v>
      </c>
      <c r="G24" s="5">
        <v>3811</v>
      </c>
      <c r="H24" s="5">
        <f t="shared" si="5"/>
        <v>2</v>
      </c>
      <c r="I24" s="5">
        <f t="shared" si="6"/>
        <v>42</v>
      </c>
      <c r="J24" s="7">
        <f t="shared" si="7"/>
        <v>7</v>
      </c>
      <c r="K24" s="7">
        <f t="shared" si="9"/>
        <v>42</v>
      </c>
      <c r="L24" s="7">
        <v>260</v>
      </c>
      <c r="M24" s="8">
        <f t="shared" si="8"/>
        <v>309</v>
      </c>
    </row>
    <row r="25" spans="1:13">
      <c r="A25" s="6">
        <v>45234</v>
      </c>
      <c r="B25" s="5" t="s">
        <v>8</v>
      </c>
      <c r="C25" s="5" t="s">
        <v>54</v>
      </c>
      <c r="D25" s="5">
        <v>0</v>
      </c>
      <c r="E25" s="5">
        <v>0</v>
      </c>
      <c r="F25" s="5">
        <v>0</v>
      </c>
      <c r="G25" s="5">
        <v>0</v>
      </c>
      <c r="H25" s="5">
        <f t="shared" si="0"/>
        <v>0</v>
      </c>
      <c r="I25" s="5">
        <f t="shared" si="1"/>
        <v>0</v>
      </c>
      <c r="J25" s="7">
        <f t="shared" si="2"/>
        <v>0</v>
      </c>
      <c r="K25" s="7">
        <f t="shared" ref="K25:K29" si="10">I25*1</f>
        <v>0</v>
      </c>
      <c r="L25" s="7">
        <v>260</v>
      </c>
      <c r="M25" s="8">
        <f t="shared" si="4"/>
        <v>260</v>
      </c>
    </row>
    <row r="26" spans="1:13">
      <c r="A26" s="6">
        <v>45264</v>
      </c>
      <c r="B26" s="5" t="s">
        <v>8</v>
      </c>
      <c r="C26" s="5" t="s">
        <v>54</v>
      </c>
      <c r="D26" s="5">
        <v>1036</v>
      </c>
      <c r="E26" s="5">
        <v>1036</v>
      </c>
      <c r="F26" s="5">
        <v>3882</v>
      </c>
      <c r="G26" s="5">
        <v>3853</v>
      </c>
      <c r="H26" s="5">
        <f t="shared" si="0"/>
        <v>0</v>
      </c>
      <c r="I26" s="5">
        <f t="shared" si="1"/>
        <v>29</v>
      </c>
      <c r="J26" s="7">
        <f t="shared" si="2"/>
        <v>0</v>
      </c>
      <c r="K26" s="7">
        <f t="shared" si="10"/>
        <v>29</v>
      </c>
      <c r="L26" s="7">
        <v>260</v>
      </c>
      <c r="M26" s="8">
        <f t="shared" si="4"/>
        <v>289</v>
      </c>
    </row>
    <row r="27" spans="1:13">
      <c r="A27" s="6">
        <v>45295</v>
      </c>
      <c r="B27" s="5" t="s">
        <v>8</v>
      </c>
      <c r="C27" s="5" t="s">
        <v>54</v>
      </c>
      <c r="D27" s="5">
        <v>1038</v>
      </c>
      <c r="E27" s="5">
        <v>1036</v>
      </c>
      <c r="F27" s="5">
        <v>3903</v>
      </c>
      <c r="G27" s="5">
        <v>3882</v>
      </c>
      <c r="H27" s="5">
        <f t="shared" si="0"/>
        <v>2</v>
      </c>
      <c r="I27" s="5">
        <f t="shared" si="1"/>
        <v>21</v>
      </c>
      <c r="J27" s="7">
        <f t="shared" si="2"/>
        <v>7</v>
      </c>
      <c r="K27" s="7">
        <f t="shared" si="10"/>
        <v>21</v>
      </c>
      <c r="L27" s="7">
        <v>260</v>
      </c>
      <c r="M27" s="8">
        <f t="shared" si="4"/>
        <v>288</v>
      </c>
    </row>
    <row r="28" spans="1:13">
      <c r="A28" s="6">
        <v>45326</v>
      </c>
      <c r="B28" s="5" t="s">
        <v>8</v>
      </c>
      <c r="C28" s="5" t="s">
        <v>54</v>
      </c>
      <c r="D28" s="5">
        <v>1039</v>
      </c>
      <c r="E28" s="5">
        <v>1038</v>
      </c>
      <c r="F28" s="5">
        <v>3947</v>
      </c>
      <c r="G28" s="5">
        <v>3903</v>
      </c>
      <c r="H28" s="5">
        <f t="shared" si="0"/>
        <v>1</v>
      </c>
      <c r="I28" s="5">
        <f t="shared" si="1"/>
        <v>44</v>
      </c>
      <c r="J28" s="7">
        <f t="shared" si="2"/>
        <v>3.5</v>
      </c>
      <c r="K28" s="7">
        <f t="shared" si="10"/>
        <v>44</v>
      </c>
      <c r="L28" s="7">
        <v>260</v>
      </c>
      <c r="M28" s="8">
        <f t="shared" si="4"/>
        <v>307.5</v>
      </c>
    </row>
    <row r="29" spans="1:13">
      <c r="A29" s="6">
        <v>45355</v>
      </c>
      <c r="B29" s="5" t="s">
        <v>8</v>
      </c>
      <c r="C29" s="5" t="s">
        <v>54</v>
      </c>
      <c r="D29" s="5">
        <v>1041</v>
      </c>
      <c r="E29" s="5">
        <v>1039</v>
      </c>
      <c r="F29" s="5">
        <v>3911</v>
      </c>
      <c r="G29" s="5">
        <v>3903</v>
      </c>
      <c r="H29" s="5">
        <f t="shared" si="0"/>
        <v>2</v>
      </c>
      <c r="I29" s="5">
        <f t="shared" si="1"/>
        <v>8</v>
      </c>
      <c r="J29" s="7">
        <f t="shared" si="2"/>
        <v>7</v>
      </c>
      <c r="K29" s="7">
        <f t="shared" si="10"/>
        <v>8</v>
      </c>
      <c r="L29" s="7">
        <v>260</v>
      </c>
      <c r="M29" s="8">
        <f t="shared" si="4"/>
        <v>275</v>
      </c>
    </row>
    <row r="30" spans="1:13">
      <c r="A30" s="6">
        <v>45392</v>
      </c>
      <c r="B30" s="5" t="s">
        <v>8</v>
      </c>
      <c r="C30" s="5" t="s">
        <v>54</v>
      </c>
      <c r="D30" s="5">
        <v>1042</v>
      </c>
      <c r="E30" s="5">
        <v>1041</v>
      </c>
      <c r="F30" s="5">
        <v>3928</v>
      </c>
      <c r="G30" s="5">
        <v>3911</v>
      </c>
      <c r="H30" s="5">
        <f t="shared" ref="H30:H54" si="11">D30-E30</f>
        <v>1</v>
      </c>
      <c r="I30" s="5">
        <f t="shared" ref="I30:I54" si="12">F30-G30</f>
        <v>17</v>
      </c>
      <c r="J30" s="7">
        <f t="shared" ref="J30:J54" si="13">H30*3.5</f>
        <v>3.5</v>
      </c>
      <c r="K30" s="7">
        <f t="shared" ref="K30:K54" si="14">I30*1</f>
        <v>17</v>
      </c>
      <c r="L30" s="7">
        <v>260</v>
      </c>
      <c r="M30" s="8">
        <f t="shared" ref="M30:M54" si="15">J30+K30+L30</f>
        <v>280.5</v>
      </c>
    </row>
    <row r="31" spans="1:13">
      <c r="A31" s="6">
        <v>45422</v>
      </c>
      <c r="B31" s="5" t="s">
        <v>8</v>
      </c>
      <c r="C31" s="5" t="s">
        <v>54</v>
      </c>
      <c r="D31" s="5">
        <v>1046</v>
      </c>
      <c r="E31" s="5">
        <v>1042</v>
      </c>
      <c r="F31" s="5">
        <v>3958</v>
      </c>
      <c r="G31" s="5">
        <v>3928</v>
      </c>
      <c r="H31" s="5">
        <f t="shared" si="11"/>
        <v>4</v>
      </c>
      <c r="I31" s="5">
        <f t="shared" si="12"/>
        <v>30</v>
      </c>
      <c r="J31" s="7">
        <f t="shared" si="13"/>
        <v>14</v>
      </c>
      <c r="K31" s="7">
        <f t="shared" si="14"/>
        <v>30</v>
      </c>
      <c r="L31" s="7">
        <v>260</v>
      </c>
      <c r="M31" s="8">
        <f t="shared" si="15"/>
        <v>304</v>
      </c>
    </row>
    <row r="32" spans="1:13">
      <c r="A32" s="6">
        <v>45453</v>
      </c>
      <c r="B32" s="5" t="s">
        <v>8</v>
      </c>
      <c r="C32" s="5" t="s">
        <v>54</v>
      </c>
      <c r="D32" s="5">
        <v>0</v>
      </c>
      <c r="E32" s="5">
        <v>0</v>
      </c>
      <c r="F32" s="5">
        <v>3989</v>
      </c>
      <c r="G32" s="5">
        <v>3958</v>
      </c>
      <c r="H32" s="5">
        <f t="shared" si="11"/>
        <v>0</v>
      </c>
      <c r="I32" s="5">
        <f t="shared" si="12"/>
        <v>31</v>
      </c>
      <c r="J32" s="7">
        <f t="shared" si="13"/>
        <v>0</v>
      </c>
      <c r="K32" s="7">
        <f t="shared" si="14"/>
        <v>31</v>
      </c>
      <c r="L32" s="7">
        <v>260</v>
      </c>
      <c r="M32" s="8">
        <f t="shared" si="15"/>
        <v>291</v>
      </c>
    </row>
    <row r="33" spans="1:15">
      <c r="A33" s="6">
        <v>45483</v>
      </c>
      <c r="B33" s="5" t="s">
        <v>8</v>
      </c>
      <c r="C33" s="5" t="s">
        <v>54</v>
      </c>
      <c r="D33" s="5">
        <v>1052</v>
      </c>
      <c r="E33" s="5">
        <v>1046</v>
      </c>
      <c r="F33" s="5">
        <v>4031</v>
      </c>
      <c r="G33" s="5">
        <v>3989</v>
      </c>
      <c r="H33" s="5">
        <f t="shared" si="11"/>
        <v>6</v>
      </c>
      <c r="I33" s="5">
        <f t="shared" si="12"/>
        <v>42</v>
      </c>
      <c r="J33" s="7">
        <f t="shared" si="13"/>
        <v>21</v>
      </c>
      <c r="K33" s="7">
        <f t="shared" si="14"/>
        <v>42</v>
      </c>
      <c r="L33" s="7">
        <v>260</v>
      </c>
      <c r="M33" s="8">
        <f t="shared" si="15"/>
        <v>323</v>
      </c>
    </row>
    <row r="34" spans="1:15">
      <c r="A34" s="6">
        <v>45514</v>
      </c>
      <c r="B34" s="5" t="s">
        <v>8</v>
      </c>
      <c r="C34" s="5" t="s">
        <v>54</v>
      </c>
      <c r="D34" s="5">
        <v>0</v>
      </c>
      <c r="E34" s="5">
        <v>0</v>
      </c>
      <c r="F34" s="5">
        <v>4068</v>
      </c>
      <c r="G34" s="5">
        <v>4031</v>
      </c>
      <c r="H34" s="5">
        <f t="shared" si="11"/>
        <v>0</v>
      </c>
      <c r="I34" s="5">
        <f t="shared" si="12"/>
        <v>37</v>
      </c>
      <c r="J34" s="7">
        <f t="shared" si="13"/>
        <v>0</v>
      </c>
      <c r="K34" s="7">
        <f t="shared" si="14"/>
        <v>37</v>
      </c>
      <c r="L34" s="7">
        <v>260</v>
      </c>
      <c r="M34" s="8">
        <f t="shared" si="15"/>
        <v>297</v>
      </c>
    </row>
    <row r="35" spans="1:15">
      <c r="A35" s="6">
        <v>45545</v>
      </c>
      <c r="B35" s="5" t="s">
        <v>8</v>
      </c>
      <c r="C35" s="5" t="s">
        <v>54</v>
      </c>
      <c r="D35" s="5">
        <v>1054</v>
      </c>
      <c r="E35" s="5">
        <v>1052</v>
      </c>
      <c r="F35" s="5">
        <v>4109</v>
      </c>
      <c r="G35" s="5">
        <v>4068</v>
      </c>
      <c r="H35" s="5">
        <f t="shared" si="11"/>
        <v>2</v>
      </c>
      <c r="I35" s="5">
        <f t="shared" si="12"/>
        <v>41</v>
      </c>
      <c r="J35" s="7">
        <f t="shared" si="13"/>
        <v>7</v>
      </c>
      <c r="K35" s="7">
        <f t="shared" si="14"/>
        <v>41</v>
      </c>
      <c r="L35" s="7">
        <v>260</v>
      </c>
      <c r="M35" s="8">
        <f t="shared" si="15"/>
        <v>308</v>
      </c>
    </row>
    <row r="36" spans="1:15">
      <c r="A36" s="6">
        <v>45575</v>
      </c>
      <c r="B36" s="5" t="s">
        <v>8</v>
      </c>
      <c r="C36" s="5" t="s">
        <v>54</v>
      </c>
      <c r="D36" s="5">
        <v>1055</v>
      </c>
      <c r="E36" s="5">
        <v>1054</v>
      </c>
      <c r="F36" s="5">
        <v>4139</v>
      </c>
      <c r="G36" s="5">
        <v>4109</v>
      </c>
      <c r="H36" s="5">
        <f t="shared" si="11"/>
        <v>1</v>
      </c>
      <c r="I36" s="5">
        <f t="shared" si="12"/>
        <v>30</v>
      </c>
      <c r="J36" s="7">
        <f t="shared" si="13"/>
        <v>3.5</v>
      </c>
      <c r="K36" s="7">
        <f t="shared" si="14"/>
        <v>30</v>
      </c>
      <c r="L36" s="7">
        <v>260</v>
      </c>
      <c r="M36" s="8">
        <f t="shared" si="15"/>
        <v>293.5</v>
      </c>
    </row>
    <row r="37" spans="1:15">
      <c r="A37" s="6">
        <v>45606</v>
      </c>
      <c r="B37" s="5" t="s">
        <v>8</v>
      </c>
      <c r="C37" s="5" t="s">
        <v>54</v>
      </c>
      <c r="D37" s="5">
        <v>0</v>
      </c>
      <c r="E37" s="5">
        <v>0</v>
      </c>
      <c r="F37" s="5">
        <v>4178</v>
      </c>
      <c r="G37" s="5">
        <v>4139</v>
      </c>
      <c r="H37" s="5">
        <f t="shared" si="11"/>
        <v>0</v>
      </c>
      <c r="I37" s="5">
        <f t="shared" si="12"/>
        <v>39</v>
      </c>
      <c r="J37" s="7">
        <f t="shared" si="13"/>
        <v>0</v>
      </c>
      <c r="K37" s="7">
        <f t="shared" si="14"/>
        <v>39</v>
      </c>
      <c r="L37" s="7">
        <v>260</v>
      </c>
      <c r="M37" s="8">
        <f t="shared" si="15"/>
        <v>299</v>
      </c>
    </row>
    <row r="38" spans="1:15" ht="20">
      <c r="A38" s="6">
        <v>45636</v>
      </c>
      <c r="B38" s="5" t="s">
        <v>8</v>
      </c>
      <c r="C38" s="5" t="s">
        <v>54</v>
      </c>
      <c r="D38" s="5">
        <v>1</v>
      </c>
      <c r="E38" s="5">
        <v>0</v>
      </c>
      <c r="F38" s="1">
        <v>4203</v>
      </c>
      <c r="G38" s="5">
        <v>4178</v>
      </c>
      <c r="H38" s="5">
        <f t="shared" si="11"/>
        <v>1</v>
      </c>
      <c r="I38" s="5">
        <f t="shared" si="12"/>
        <v>25</v>
      </c>
      <c r="J38" s="7">
        <f t="shared" si="13"/>
        <v>3.5</v>
      </c>
      <c r="K38" s="7">
        <f t="shared" si="14"/>
        <v>25</v>
      </c>
      <c r="L38" s="7">
        <v>260</v>
      </c>
      <c r="M38" s="8">
        <f t="shared" si="15"/>
        <v>288.5</v>
      </c>
    </row>
    <row r="39" spans="1:15">
      <c r="A39" s="6">
        <v>45672</v>
      </c>
      <c r="B39" s="5" t="s">
        <v>8</v>
      </c>
      <c r="C39" s="5" t="s">
        <v>54</v>
      </c>
      <c r="D39" s="5">
        <v>2</v>
      </c>
      <c r="E39" s="5">
        <v>1</v>
      </c>
      <c r="F39" s="5">
        <v>4216</v>
      </c>
      <c r="G39" s="5">
        <v>4203</v>
      </c>
      <c r="H39" s="5">
        <f t="shared" si="11"/>
        <v>1</v>
      </c>
      <c r="I39" s="5">
        <f t="shared" si="12"/>
        <v>13</v>
      </c>
      <c r="J39" s="7">
        <f t="shared" si="13"/>
        <v>3.5</v>
      </c>
      <c r="K39" s="7">
        <f t="shared" si="14"/>
        <v>13</v>
      </c>
      <c r="L39" s="7">
        <v>270</v>
      </c>
      <c r="M39" s="8">
        <f t="shared" si="15"/>
        <v>286.5</v>
      </c>
      <c r="O39" s="5" t="s">
        <v>55</v>
      </c>
    </row>
    <row r="40" spans="1:15">
      <c r="A40" s="6">
        <v>45703</v>
      </c>
      <c r="B40" s="5" t="s">
        <v>8</v>
      </c>
      <c r="C40" s="5" t="s">
        <v>54</v>
      </c>
      <c r="D40" s="5">
        <v>2</v>
      </c>
      <c r="E40" s="5">
        <v>2</v>
      </c>
      <c r="F40" s="5">
        <v>4218</v>
      </c>
      <c r="G40" s="5">
        <v>4216</v>
      </c>
      <c r="H40" s="5">
        <f t="shared" si="11"/>
        <v>0</v>
      </c>
      <c r="I40" s="5">
        <f t="shared" si="12"/>
        <v>2</v>
      </c>
      <c r="J40" s="7">
        <f t="shared" si="13"/>
        <v>0</v>
      </c>
      <c r="K40" s="7">
        <f t="shared" si="14"/>
        <v>2</v>
      </c>
      <c r="L40" s="7">
        <v>270</v>
      </c>
      <c r="M40" s="8">
        <f t="shared" si="15"/>
        <v>272</v>
      </c>
    </row>
    <row r="41" spans="1:15">
      <c r="A41" s="6">
        <v>45731</v>
      </c>
      <c r="B41" s="5" t="s">
        <v>8</v>
      </c>
      <c r="C41" s="5" t="s">
        <v>54</v>
      </c>
      <c r="D41" s="5">
        <v>3</v>
      </c>
      <c r="E41" s="5">
        <v>1</v>
      </c>
      <c r="F41" s="5">
        <v>4222</v>
      </c>
      <c r="G41" s="5">
        <v>4218</v>
      </c>
      <c r="H41" s="5">
        <f t="shared" si="11"/>
        <v>2</v>
      </c>
      <c r="I41" s="5">
        <f t="shared" si="12"/>
        <v>4</v>
      </c>
      <c r="J41" s="7">
        <f t="shared" si="13"/>
        <v>7</v>
      </c>
      <c r="K41" s="7">
        <f t="shared" si="14"/>
        <v>4</v>
      </c>
      <c r="L41" s="7">
        <v>270</v>
      </c>
      <c r="M41" s="8">
        <f t="shared" si="15"/>
        <v>281</v>
      </c>
    </row>
    <row r="42" spans="1:15">
      <c r="A42" s="6">
        <v>45762</v>
      </c>
      <c r="B42" s="5" t="s">
        <v>8</v>
      </c>
      <c r="C42" s="5" t="s">
        <v>54</v>
      </c>
      <c r="D42" s="5">
        <v>3</v>
      </c>
      <c r="E42" s="5">
        <v>3</v>
      </c>
      <c r="F42" s="5">
        <v>4226</v>
      </c>
      <c r="G42" s="5">
        <v>4222</v>
      </c>
      <c r="H42" s="5">
        <f t="shared" si="11"/>
        <v>0</v>
      </c>
      <c r="I42" s="5">
        <f t="shared" si="12"/>
        <v>4</v>
      </c>
      <c r="J42" s="7">
        <f t="shared" si="13"/>
        <v>0</v>
      </c>
      <c r="K42" s="7">
        <f t="shared" si="14"/>
        <v>4</v>
      </c>
      <c r="L42" s="7">
        <v>270</v>
      </c>
      <c r="M42" s="8">
        <f t="shared" si="15"/>
        <v>274</v>
      </c>
    </row>
    <row r="43" spans="1:15">
      <c r="A43" s="6">
        <v>45792</v>
      </c>
      <c r="B43" s="5" t="s">
        <v>8</v>
      </c>
      <c r="C43" s="5" t="s">
        <v>54</v>
      </c>
      <c r="D43" s="5">
        <v>5</v>
      </c>
      <c r="E43" s="5">
        <v>3</v>
      </c>
      <c r="F43" s="5">
        <v>4234</v>
      </c>
      <c r="G43" s="5">
        <v>4226</v>
      </c>
      <c r="H43" s="5">
        <f t="shared" si="11"/>
        <v>2</v>
      </c>
      <c r="I43" s="5">
        <f t="shared" si="12"/>
        <v>8</v>
      </c>
      <c r="J43" s="7">
        <f t="shared" si="13"/>
        <v>7</v>
      </c>
      <c r="K43" s="7">
        <f t="shared" si="14"/>
        <v>8</v>
      </c>
      <c r="L43" s="7">
        <v>270</v>
      </c>
      <c r="M43" s="8">
        <f t="shared" si="15"/>
        <v>285</v>
      </c>
    </row>
    <row r="44" spans="1:15">
      <c r="A44" s="6">
        <v>45792</v>
      </c>
      <c r="B44" s="5" t="s">
        <v>8</v>
      </c>
      <c r="C44" s="5" t="s">
        <v>54</v>
      </c>
      <c r="D44" s="5">
        <v>0</v>
      </c>
      <c r="E44" s="5">
        <v>0</v>
      </c>
      <c r="F44" s="5">
        <v>15</v>
      </c>
      <c r="G44" s="5">
        <v>0</v>
      </c>
      <c r="H44" s="5">
        <f t="shared" si="11"/>
        <v>0</v>
      </c>
      <c r="I44" s="5">
        <f t="shared" si="12"/>
        <v>15</v>
      </c>
      <c r="J44" s="7">
        <f t="shared" si="13"/>
        <v>0</v>
      </c>
      <c r="K44" s="7">
        <f t="shared" si="14"/>
        <v>15</v>
      </c>
      <c r="L44" s="7">
        <v>0</v>
      </c>
      <c r="M44" s="8">
        <f t="shared" si="15"/>
        <v>15</v>
      </c>
    </row>
    <row r="45" spans="1:15">
      <c r="A45" s="6">
        <v>45823</v>
      </c>
      <c r="B45" s="5" t="s">
        <v>8</v>
      </c>
      <c r="C45" s="5" t="s">
        <v>54</v>
      </c>
      <c r="D45" s="5">
        <v>6</v>
      </c>
      <c r="E45" s="5">
        <v>5</v>
      </c>
      <c r="F45" s="5">
        <v>63</v>
      </c>
      <c r="G45" s="5">
        <v>15</v>
      </c>
      <c r="H45" s="5">
        <f t="shared" si="11"/>
        <v>1</v>
      </c>
      <c r="I45" s="5">
        <f t="shared" si="12"/>
        <v>48</v>
      </c>
      <c r="J45" s="7">
        <f t="shared" si="13"/>
        <v>3.5</v>
      </c>
      <c r="K45" s="7">
        <f t="shared" si="14"/>
        <v>48</v>
      </c>
      <c r="L45" s="7">
        <v>270</v>
      </c>
      <c r="M45" s="8">
        <f t="shared" si="15"/>
        <v>321.5</v>
      </c>
    </row>
    <row r="46" spans="1:15">
      <c r="A46" s="6">
        <v>45853</v>
      </c>
      <c r="B46" s="5" t="s">
        <v>8</v>
      </c>
      <c r="C46" s="5" t="s">
        <v>54</v>
      </c>
      <c r="D46" s="5">
        <v>7</v>
      </c>
      <c r="E46" s="5">
        <v>6</v>
      </c>
      <c r="F46" s="5">
        <v>107</v>
      </c>
      <c r="G46" s="5">
        <v>63</v>
      </c>
      <c r="H46" s="5">
        <f t="shared" si="11"/>
        <v>1</v>
      </c>
      <c r="I46" s="5">
        <f t="shared" si="12"/>
        <v>44</v>
      </c>
      <c r="J46" s="7">
        <f t="shared" si="13"/>
        <v>3.5</v>
      </c>
      <c r="K46" s="7">
        <f t="shared" si="14"/>
        <v>44</v>
      </c>
      <c r="L46" s="7">
        <v>270</v>
      </c>
      <c r="M46" s="8">
        <f t="shared" si="15"/>
        <v>317.5</v>
      </c>
    </row>
    <row r="47" spans="1:15">
      <c r="A47" s="6">
        <v>45884</v>
      </c>
      <c r="B47" s="5" t="s">
        <v>115</v>
      </c>
      <c r="C47" s="5" t="s">
        <v>54</v>
      </c>
      <c r="D47" s="5">
        <v>10</v>
      </c>
      <c r="E47" s="5">
        <v>7</v>
      </c>
      <c r="F47" s="5">
        <v>224</v>
      </c>
      <c r="G47" s="5">
        <v>107</v>
      </c>
      <c r="H47" s="5">
        <f t="shared" si="11"/>
        <v>3</v>
      </c>
      <c r="I47" s="5">
        <f t="shared" si="12"/>
        <v>117</v>
      </c>
      <c r="J47" s="7">
        <f t="shared" si="13"/>
        <v>10.5</v>
      </c>
      <c r="K47" s="7">
        <f t="shared" si="14"/>
        <v>117</v>
      </c>
      <c r="L47" s="7">
        <v>270</v>
      </c>
      <c r="M47" s="8">
        <f t="shared" si="15"/>
        <v>397.5</v>
      </c>
    </row>
    <row r="48" spans="1:15">
      <c r="A48" s="6">
        <v>45915</v>
      </c>
      <c r="B48" s="5" t="s">
        <v>115</v>
      </c>
      <c r="C48" s="5" t="s">
        <v>54</v>
      </c>
      <c r="D48" s="5">
        <v>12</v>
      </c>
      <c r="E48" s="5">
        <v>10</v>
      </c>
      <c r="F48" s="5">
        <v>330</v>
      </c>
      <c r="G48" s="5">
        <v>224</v>
      </c>
      <c r="H48" s="5">
        <f t="shared" si="11"/>
        <v>2</v>
      </c>
      <c r="I48" s="5">
        <f t="shared" si="12"/>
        <v>106</v>
      </c>
      <c r="J48" s="7">
        <f t="shared" si="13"/>
        <v>7</v>
      </c>
      <c r="K48" s="7">
        <f t="shared" si="14"/>
        <v>106</v>
      </c>
      <c r="L48" s="7">
        <v>270</v>
      </c>
      <c r="M48" s="8">
        <f t="shared" si="15"/>
        <v>383</v>
      </c>
    </row>
    <row r="49" spans="1:13">
      <c r="A49" s="6">
        <v>45945</v>
      </c>
      <c r="B49" s="5" t="s">
        <v>115</v>
      </c>
      <c r="C49" s="5" t="s">
        <v>54</v>
      </c>
      <c r="D49" s="5">
        <v>14</v>
      </c>
      <c r="E49" s="5">
        <v>12</v>
      </c>
      <c r="F49" s="5">
        <v>421</v>
      </c>
      <c r="G49" s="5">
        <v>330</v>
      </c>
      <c r="H49" s="5">
        <f t="shared" si="11"/>
        <v>2</v>
      </c>
      <c r="I49" s="5">
        <f t="shared" si="12"/>
        <v>91</v>
      </c>
      <c r="J49" s="7">
        <f t="shared" si="13"/>
        <v>7</v>
      </c>
      <c r="K49" s="7">
        <f t="shared" si="14"/>
        <v>91</v>
      </c>
      <c r="L49" s="7">
        <v>270</v>
      </c>
      <c r="M49" s="8">
        <f t="shared" si="15"/>
        <v>368</v>
      </c>
    </row>
    <row r="50" spans="1:13">
      <c r="A50" s="6">
        <v>45976</v>
      </c>
      <c r="B50" s="5" t="s">
        <v>115</v>
      </c>
      <c r="C50" s="5" t="s">
        <v>54</v>
      </c>
      <c r="D50" s="5">
        <v>15</v>
      </c>
      <c r="E50" s="5">
        <v>14</v>
      </c>
      <c r="F50" s="5">
        <v>486</v>
      </c>
      <c r="G50" s="5">
        <v>421</v>
      </c>
      <c r="H50" s="5">
        <f t="shared" si="11"/>
        <v>1</v>
      </c>
      <c r="I50" s="5">
        <f t="shared" si="12"/>
        <v>65</v>
      </c>
      <c r="J50" s="7">
        <f t="shared" si="13"/>
        <v>3.5</v>
      </c>
      <c r="K50" s="7">
        <f t="shared" si="14"/>
        <v>65</v>
      </c>
      <c r="L50" s="7">
        <v>270</v>
      </c>
      <c r="M50" s="8">
        <f t="shared" si="15"/>
        <v>338.5</v>
      </c>
    </row>
    <row r="51" spans="1:13">
      <c r="A51" s="6">
        <v>46006</v>
      </c>
      <c r="B51" s="5" t="s">
        <v>115</v>
      </c>
      <c r="C51" s="5" t="s">
        <v>287</v>
      </c>
      <c r="D51" s="5">
        <v>17</v>
      </c>
      <c r="E51" s="5">
        <v>15</v>
      </c>
      <c r="F51" s="5">
        <v>530</v>
      </c>
      <c r="G51" s="5">
        <v>486</v>
      </c>
      <c r="H51" s="5">
        <f t="shared" si="11"/>
        <v>2</v>
      </c>
      <c r="I51" s="5">
        <f t="shared" si="12"/>
        <v>44</v>
      </c>
      <c r="J51" s="7">
        <f t="shared" si="13"/>
        <v>7</v>
      </c>
      <c r="K51" s="7">
        <f t="shared" si="14"/>
        <v>44</v>
      </c>
      <c r="L51" s="7">
        <v>270</v>
      </c>
      <c r="M51" s="8">
        <f t="shared" si="15"/>
        <v>321</v>
      </c>
    </row>
    <row r="52" spans="1:13">
      <c r="A52" s="6">
        <v>46037</v>
      </c>
      <c r="B52" s="5" t="s">
        <v>115</v>
      </c>
      <c r="C52" s="5" t="s">
        <v>287</v>
      </c>
      <c r="D52" s="5">
        <v>19</v>
      </c>
      <c r="E52" s="5">
        <v>17</v>
      </c>
      <c r="F52" s="5">
        <v>582</v>
      </c>
      <c r="G52" s="5">
        <v>530</v>
      </c>
      <c r="H52" s="5">
        <f t="shared" si="11"/>
        <v>2</v>
      </c>
      <c r="I52" s="5">
        <f t="shared" si="12"/>
        <v>52</v>
      </c>
      <c r="J52" s="7">
        <f t="shared" si="13"/>
        <v>7</v>
      </c>
      <c r="K52" s="7">
        <f t="shared" si="14"/>
        <v>52</v>
      </c>
      <c r="L52" s="7">
        <v>270</v>
      </c>
      <c r="M52" s="8">
        <f t="shared" si="15"/>
        <v>329</v>
      </c>
    </row>
    <row r="53" spans="1:13">
      <c r="A53" s="6">
        <v>46068</v>
      </c>
      <c r="B53" s="5" t="s">
        <v>298</v>
      </c>
      <c r="C53" s="5" t="s">
        <v>287</v>
      </c>
      <c r="D53" s="5">
        <v>0</v>
      </c>
      <c r="E53" s="5">
        <v>0</v>
      </c>
      <c r="F53" s="5">
        <v>0</v>
      </c>
      <c r="G53" s="5">
        <v>0</v>
      </c>
      <c r="H53" s="5">
        <f t="shared" si="11"/>
        <v>0</v>
      </c>
      <c r="I53" s="5">
        <f t="shared" si="12"/>
        <v>0</v>
      </c>
      <c r="J53" s="7">
        <f t="shared" si="13"/>
        <v>0</v>
      </c>
      <c r="K53" s="7">
        <f t="shared" si="14"/>
        <v>0</v>
      </c>
      <c r="L53" s="7">
        <v>270</v>
      </c>
      <c r="M53" s="8">
        <f t="shared" si="15"/>
        <v>270</v>
      </c>
    </row>
    <row r="54" spans="1:13">
      <c r="A54" s="6">
        <v>46096</v>
      </c>
      <c r="B54" s="5" t="s">
        <v>323</v>
      </c>
      <c r="C54" s="5" t="s">
        <v>324</v>
      </c>
      <c r="D54" s="5">
        <v>0</v>
      </c>
      <c r="E54" s="5">
        <v>0</v>
      </c>
      <c r="F54" s="5">
        <v>635</v>
      </c>
      <c r="G54" s="5">
        <v>582</v>
      </c>
      <c r="H54" s="5">
        <f t="shared" si="11"/>
        <v>0</v>
      </c>
      <c r="I54" s="5">
        <f t="shared" si="12"/>
        <v>53</v>
      </c>
      <c r="J54" s="7">
        <f t="shared" si="13"/>
        <v>0</v>
      </c>
      <c r="K54" s="7">
        <f t="shared" si="14"/>
        <v>53</v>
      </c>
      <c r="L54" s="7">
        <v>270</v>
      </c>
      <c r="M54" s="8">
        <f t="shared" si="15"/>
        <v>323</v>
      </c>
    </row>
    <row r="55" spans="1:13">
      <c r="A55" s="3" t="s">
        <v>108</v>
      </c>
      <c r="B55" s="4" t="s">
        <v>107</v>
      </c>
      <c r="C55" s="4" t="s">
        <v>107</v>
      </c>
      <c r="D55" s="4" t="s">
        <v>107</v>
      </c>
      <c r="E55" s="4" t="s">
        <v>107</v>
      </c>
      <c r="F55" s="4" t="s">
        <v>107</v>
      </c>
      <c r="G55" s="4" t="s">
        <v>107</v>
      </c>
      <c r="H55" s="5">
        <f>SUBTOTAL(9,H3:H54)</f>
        <v>67</v>
      </c>
      <c r="I55" s="5">
        <f>SUBTOTAL(9,I3:I54)</f>
        <v>1732</v>
      </c>
      <c r="J55" s="7">
        <f>SUBTOTAL(9,J3:J54)</f>
        <v>234.5</v>
      </c>
      <c r="K55" s="7">
        <f>SUBTOTAL(9,K3:K54)</f>
        <v>1672.6999999999998</v>
      </c>
      <c r="L55" s="7">
        <f>SUBTOTAL(9,L3:L54)</f>
        <v>13410</v>
      </c>
      <c r="M55" s="10">
        <f t="shared" ref="M55" si="16">SUBTOTAL(9,M3:M46)</f>
        <v>12587.2</v>
      </c>
    </row>
  </sheetData>
  <mergeCells count="10">
    <mergeCell ref="L1:L2"/>
    <mergeCell ref="M1:M2"/>
    <mergeCell ref="D1:E1"/>
    <mergeCell ref="F1:G1"/>
    <mergeCell ref="H1:I1"/>
    <mergeCell ref="A1:A2"/>
    <mergeCell ref="B1:B2"/>
    <mergeCell ref="C1:C2"/>
    <mergeCell ref="J1:J2"/>
    <mergeCell ref="K1:K2"/>
  </mergeCells>
  <phoneticPr fontId="1" type="noConversion"/>
  <conditionalFormatting sqref="A1:XFD1048576">
    <cfRule type="cellIs" dxfId="13" priority="1" operator="equal">
      <formula>0</formula>
    </cfRule>
  </conditionalFormatting>
  <conditionalFormatting sqref="N3:N54">
    <cfRule type="cellIs" dxfId="12" priority="2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O50"/>
  <sheetViews>
    <sheetView topLeftCell="B1" zoomScale="120" zoomScaleNormal="120" workbookViewId="0">
      <pane ySplit="2" topLeftCell="A30" activePane="bottomLeft" state="frozen"/>
      <selection activeCell="F38" sqref="F38"/>
      <selection pane="bottomLeft" activeCell="A49" sqref="A49:XFD49"/>
    </sheetView>
  </sheetViews>
  <sheetFormatPr baseColWidth="10" defaultColWidth="10.85546875" defaultRowHeight="18"/>
  <cols>
    <col min="1" max="1" width="16.855468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1" width="9.85546875" style="7" bestFit="1" customWidth="1"/>
    <col min="12" max="12" width="11.140625" style="7" bestFit="1" customWidth="1"/>
    <col min="13" max="13" width="13.42578125" style="8" bestFit="1" customWidth="1"/>
    <col min="14" max="14" width="9.42578125" style="5" bestFit="1" customWidth="1"/>
    <col min="15" max="15" width="50.140625" style="5" bestFit="1" customWidth="1"/>
    <col min="16" max="16384" width="10.85546875" style="5"/>
  </cols>
  <sheetData>
    <row r="1" spans="1:14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</row>
    <row r="2" spans="1:14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200</v>
      </c>
    </row>
    <row r="3" spans="1:14">
      <c r="A3" s="6">
        <v>44722</v>
      </c>
      <c r="B3" s="5" t="s">
        <v>9</v>
      </c>
      <c r="C3" s="5" t="s">
        <v>56</v>
      </c>
      <c r="D3" s="5">
        <v>652</v>
      </c>
      <c r="E3" s="5">
        <v>648</v>
      </c>
      <c r="F3" s="5">
        <v>6178</v>
      </c>
      <c r="G3" s="5">
        <v>6117</v>
      </c>
      <c r="H3" s="5">
        <f t="shared" ref="H3:H19" si="0">D3-E3</f>
        <v>4</v>
      </c>
      <c r="I3" s="5">
        <f t="shared" ref="I3:I19" si="1">F3-G3</f>
        <v>61</v>
      </c>
      <c r="J3" s="7">
        <f t="shared" ref="J3:J19" si="2">H3*3.5</f>
        <v>14</v>
      </c>
      <c r="K3" s="7">
        <f>I3*0.9</f>
        <v>54.9</v>
      </c>
      <c r="L3" s="7">
        <v>260</v>
      </c>
      <c r="M3" s="8">
        <f t="shared" ref="M3:M24" si="3">J3+K3+L3</f>
        <v>328.9</v>
      </c>
    </row>
    <row r="4" spans="1:14">
      <c r="A4" s="6">
        <v>44752</v>
      </c>
      <c r="B4" s="5" t="s">
        <v>9</v>
      </c>
      <c r="C4" s="5" t="s">
        <v>56</v>
      </c>
      <c r="D4" s="5">
        <v>656</v>
      </c>
      <c r="E4" s="5">
        <v>652</v>
      </c>
      <c r="F4" s="5">
        <v>6268</v>
      </c>
      <c r="G4" s="5">
        <v>6178</v>
      </c>
      <c r="H4" s="5">
        <f t="shared" si="0"/>
        <v>4</v>
      </c>
      <c r="I4" s="5">
        <f t="shared" si="1"/>
        <v>90</v>
      </c>
      <c r="J4" s="7">
        <f t="shared" si="2"/>
        <v>14</v>
      </c>
      <c r="K4" s="7">
        <f t="shared" ref="K4:K18" si="4">I4*0.9</f>
        <v>81</v>
      </c>
      <c r="L4" s="7">
        <v>260</v>
      </c>
      <c r="M4" s="8">
        <f t="shared" si="3"/>
        <v>355</v>
      </c>
    </row>
    <row r="5" spans="1:14">
      <c r="A5" s="6">
        <v>44783</v>
      </c>
      <c r="B5" s="5" t="s">
        <v>9</v>
      </c>
      <c r="C5" s="5" t="s">
        <v>56</v>
      </c>
      <c r="D5" s="5">
        <v>0</v>
      </c>
      <c r="E5" s="5">
        <v>0</v>
      </c>
      <c r="F5" s="5">
        <v>6301</v>
      </c>
      <c r="G5" s="5">
        <v>6268</v>
      </c>
      <c r="H5" s="5">
        <f t="shared" si="0"/>
        <v>0</v>
      </c>
      <c r="I5" s="5">
        <f t="shared" si="1"/>
        <v>33</v>
      </c>
      <c r="J5" s="7">
        <f t="shared" si="2"/>
        <v>0</v>
      </c>
      <c r="K5" s="7">
        <f t="shared" si="4"/>
        <v>29.7</v>
      </c>
      <c r="L5" s="7">
        <v>260</v>
      </c>
      <c r="M5" s="8">
        <f t="shared" si="3"/>
        <v>289.7</v>
      </c>
    </row>
    <row r="6" spans="1:14">
      <c r="A6" s="6">
        <v>44814</v>
      </c>
      <c r="B6" s="5" t="s">
        <v>9</v>
      </c>
      <c r="C6" s="5" t="s">
        <v>56</v>
      </c>
      <c r="D6" s="5">
        <v>658</v>
      </c>
      <c r="E6" s="5">
        <v>656</v>
      </c>
      <c r="F6" s="5">
        <v>6335</v>
      </c>
      <c r="G6" s="5">
        <v>6301</v>
      </c>
      <c r="H6" s="5">
        <f t="shared" si="0"/>
        <v>2</v>
      </c>
      <c r="I6" s="5">
        <f t="shared" si="1"/>
        <v>34</v>
      </c>
      <c r="J6" s="7">
        <f t="shared" si="2"/>
        <v>7</v>
      </c>
      <c r="K6" s="7">
        <f t="shared" si="4"/>
        <v>30.6</v>
      </c>
      <c r="L6" s="7">
        <v>260</v>
      </c>
      <c r="M6" s="8">
        <f t="shared" si="3"/>
        <v>297.60000000000002</v>
      </c>
    </row>
    <row r="7" spans="1:14">
      <c r="A7" s="6">
        <v>44844</v>
      </c>
      <c r="B7" s="5" t="s">
        <v>9</v>
      </c>
      <c r="C7" s="5" t="s">
        <v>56</v>
      </c>
      <c r="D7" s="5">
        <v>660</v>
      </c>
      <c r="E7" s="5">
        <v>658</v>
      </c>
      <c r="F7" s="5">
        <v>6388</v>
      </c>
      <c r="G7" s="5">
        <v>6335</v>
      </c>
      <c r="H7" s="5">
        <f t="shared" si="0"/>
        <v>2</v>
      </c>
      <c r="I7" s="5">
        <f t="shared" si="1"/>
        <v>53</v>
      </c>
      <c r="J7" s="7">
        <f t="shared" si="2"/>
        <v>7</v>
      </c>
      <c r="K7" s="7">
        <f t="shared" si="4"/>
        <v>47.7</v>
      </c>
      <c r="L7" s="7">
        <v>260</v>
      </c>
      <c r="M7" s="8">
        <f t="shared" si="3"/>
        <v>314.7</v>
      </c>
    </row>
    <row r="8" spans="1:14">
      <c r="A8" s="6">
        <v>44875</v>
      </c>
      <c r="B8" s="5" t="s">
        <v>9</v>
      </c>
      <c r="C8" s="5" t="s">
        <v>56</v>
      </c>
      <c r="D8" s="5">
        <v>664</v>
      </c>
      <c r="E8" s="5">
        <v>660</v>
      </c>
      <c r="F8" s="5">
        <v>6461</v>
      </c>
      <c r="G8" s="5">
        <v>6388</v>
      </c>
      <c r="H8" s="5">
        <f t="shared" si="0"/>
        <v>4</v>
      </c>
      <c r="I8" s="5">
        <f t="shared" si="1"/>
        <v>73</v>
      </c>
      <c r="J8" s="7">
        <f t="shared" si="2"/>
        <v>14</v>
      </c>
      <c r="K8" s="7">
        <f t="shared" si="4"/>
        <v>65.7</v>
      </c>
      <c r="L8" s="7">
        <v>260</v>
      </c>
      <c r="M8" s="8">
        <f t="shared" si="3"/>
        <v>339.7</v>
      </c>
    </row>
    <row r="9" spans="1:14">
      <c r="A9" s="6">
        <v>44905</v>
      </c>
      <c r="B9" s="5" t="s">
        <v>9</v>
      </c>
      <c r="C9" s="5" t="s">
        <v>56</v>
      </c>
      <c r="D9" s="5">
        <v>668</v>
      </c>
      <c r="E9" s="5">
        <v>664</v>
      </c>
      <c r="F9" s="5">
        <v>6525</v>
      </c>
      <c r="G9" s="5">
        <v>6461</v>
      </c>
      <c r="H9" s="5">
        <f t="shared" si="0"/>
        <v>4</v>
      </c>
      <c r="I9" s="5">
        <f t="shared" si="1"/>
        <v>64</v>
      </c>
      <c r="J9" s="7">
        <f t="shared" si="2"/>
        <v>14</v>
      </c>
      <c r="K9" s="7">
        <f t="shared" si="4"/>
        <v>57.6</v>
      </c>
      <c r="L9" s="7">
        <v>260</v>
      </c>
      <c r="M9" s="8">
        <f t="shared" si="3"/>
        <v>331.6</v>
      </c>
    </row>
    <row r="10" spans="1:14">
      <c r="A10" s="6">
        <v>44936</v>
      </c>
      <c r="B10" s="5" t="s">
        <v>9</v>
      </c>
      <c r="C10" s="5" t="s">
        <v>56</v>
      </c>
      <c r="D10" s="5">
        <v>670</v>
      </c>
      <c r="E10" s="5">
        <v>668</v>
      </c>
      <c r="F10" s="5">
        <v>6619</v>
      </c>
      <c r="G10" s="5">
        <v>6525</v>
      </c>
      <c r="H10" s="5">
        <f t="shared" si="0"/>
        <v>2</v>
      </c>
      <c r="I10" s="5">
        <f t="shared" si="1"/>
        <v>94</v>
      </c>
      <c r="J10" s="7">
        <f t="shared" si="2"/>
        <v>7</v>
      </c>
      <c r="K10" s="7">
        <f t="shared" si="4"/>
        <v>84.600000000000009</v>
      </c>
      <c r="L10" s="7">
        <v>260</v>
      </c>
      <c r="M10" s="8">
        <f t="shared" si="3"/>
        <v>351.6</v>
      </c>
    </row>
    <row r="11" spans="1:14">
      <c r="A11" s="6">
        <v>44967</v>
      </c>
      <c r="B11" s="5" t="s">
        <v>9</v>
      </c>
      <c r="C11" s="5" t="s">
        <v>56</v>
      </c>
      <c r="D11" s="5">
        <v>672</v>
      </c>
      <c r="E11" s="5">
        <v>670</v>
      </c>
      <c r="F11" s="5">
        <v>6675</v>
      </c>
      <c r="G11" s="5">
        <v>6619</v>
      </c>
      <c r="H11" s="5">
        <f t="shared" si="0"/>
        <v>2</v>
      </c>
      <c r="I11" s="5">
        <f t="shared" si="1"/>
        <v>56</v>
      </c>
      <c r="J11" s="7">
        <f t="shared" si="2"/>
        <v>7</v>
      </c>
      <c r="K11" s="7">
        <f t="shared" si="4"/>
        <v>50.4</v>
      </c>
      <c r="L11" s="7">
        <v>260</v>
      </c>
      <c r="M11" s="8">
        <f t="shared" si="3"/>
        <v>317.39999999999998</v>
      </c>
    </row>
    <row r="12" spans="1:14">
      <c r="A12" s="6">
        <v>44995</v>
      </c>
      <c r="B12" s="5" t="s">
        <v>9</v>
      </c>
      <c r="C12" s="5" t="s">
        <v>56</v>
      </c>
      <c r="D12" s="5">
        <v>676</v>
      </c>
      <c r="E12" s="5">
        <v>672</v>
      </c>
      <c r="F12" s="5">
        <v>6763</v>
      </c>
      <c r="G12" s="5">
        <v>6675</v>
      </c>
      <c r="H12" s="5">
        <f t="shared" si="0"/>
        <v>4</v>
      </c>
      <c r="I12" s="5">
        <f t="shared" si="1"/>
        <v>88</v>
      </c>
      <c r="J12" s="7">
        <f t="shared" si="2"/>
        <v>14</v>
      </c>
      <c r="K12" s="7">
        <f t="shared" si="4"/>
        <v>79.2</v>
      </c>
      <c r="L12" s="7">
        <v>260</v>
      </c>
      <c r="M12" s="8">
        <f t="shared" si="3"/>
        <v>353.2</v>
      </c>
    </row>
    <row r="13" spans="1:14">
      <c r="A13" s="6">
        <v>45026</v>
      </c>
      <c r="B13" s="5" t="s">
        <v>9</v>
      </c>
      <c r="C13" s="5" t="s">
        <v>56</v>
      </c>
      <c r="D13" s="5">
        <v>680</v>
      </c>
      <c r="E13" s="5">
        <v>676</v>
      </c>
      <c r="F13" s="5">
        <v>6848</v>
      </c>
      <c r="G13" s="5">
        <v>6763</v>
      </c>
      <c r="H13" s="5">
        <f t="shared" si="0"/>
        <v>4</v>
      </c>
      <c r="I13" s="5">
        <f t="shared" si="1"/>
        <v>85</v>
      </c>
      <c r="J13" s="7">
        <f t="shared" si="2"/>
        <v>14</v>
      </c>
      <c r="K13" s="7">
        <f t="shared" si="4"/>
        <v>76.5</v>
      </c>
      <c r="L13" s="7">
        <v>260</v>
      </c>
      <c r="M13" s="8">
        <f t="shared" si="3"/>
        <v>350.5</v>
      </c>
    </row>
    <row r="14" spans="1:14">
      <c r="A14" s="6">
        <v>45056</v>
      </c>
      <c r="B14" s="5" t="s">
        <v>9</v>
      </c>
      <c r="C14" s="5" t="s">
        <v>56</v>
      </c>
      <c r="D14" s="5">
        <v>684</v>
      </c>
      <c r="E14" s="5">
        <v>680</v>
      </c>
      <c r="F14" s="5">
        <v>6907</v>
      </c>
      <c r="G14" s="5">
        <v>6848</v>
      </c>
      <c r="H14" s="5">
        <f t="shared" si="0"/>
        <v>4</v>
      </c>
      <c r="I14" s="5">
        <f t="shared" si="1"/>
        <v>59</v>
      </c>
      <c r="J14" s="7">
        <f t="shared" si="2"/>
        <v>14</v>
      </c>
      <c r="K14" s="7">
        <f t="shared" si="4"/>
        <v>53.1</v>
      </c>
      <c r="L14" s="7">
        <v>260</v>
      </c>
      <c r="M14" s="8">
        <f t="shared" si="3"/>
        <v>327.10000000000002</v>
      </c>
    </row>
    <row r="15" spans="1:14">
      <c r="A15" s="6">
        <v>45087</v>
      </c>
      <c r="B15" s="5" t="s">
        <v>9</v>
      </c>
      <c r="C15" s="5" t="s">
        <v>56</v>
      </c>
      <c r="D15" s="5">
        <v>688</v>
      </c>
      <c r="E15" s="5">
        <v>684</v>
      </c>
      <c r="F15" s="5">
        <v>6992</v>
      </c>
      <c r="G15" s="5">
        <v>6907</v>
      </c>
      <c r="H15" s="5">
        <f t="shared" si="0"/>
        <v>4</v>
      </c>
      <c r="I15" s="5">
        <f t="shared" si="1"/>
        <v>85</v>
      </c>
      <c r="J15" s="7">
        <f t="shared" si="2"/>
        <v>14</v>
      </c>
      <c r="K15" s="7">
        <f t="shared" si="4"/>
        <v>76.5</v>
      </c>
      <c r="L15" s="7">
        <v>260</v>
      </c>
      <c r="M15" s="8">
        <f t="shared" si="3"/>
        <v>350.5</v>
      </c>
    </row>
    <row r="16" spans="1:14">
      <c r="A16" s="6">
        <v>45117</v>
      </c>
      <c r="B16" s="5" t="s">
        <v>9</v>
      </c>
      <c r="C16" s="5" t="s">
        <v>56</v>
      </c>
      <c r="D16" s="5">
        <v>692</v>
      </c>
      <c r="E16" s="5">
        <v>688</v>
      </c>
      <c r="F16" s="5">
        <v>7096</v>
      </c>
      <c r="G16" s="5">
        <v>6992</v>
      </c>
      <c r="H16" s="5">
        <f t="shared" si="0"/>
        <v>4</v>
      </c>
      <c r="I16" s="5">
        <f t="shared" si="1"/>
        <v>104</v>
      </c>
      <c r="J16" s="7">
        <f t="shared" si="2"/>
        <v>14</v>
      </c>
      <c r="K16" s="7">
        <f t="shared" si="4"/>
        <v>93.600000000000009</v>
      </c>
      <c r="L16" s="7">
        <v>260</v>
      </c>
      <c r="M16" s="8">
        <f t="shared" si="3"/>
        <v>367.6</v>
      </c>
    </row>
    <row r="17" spans="1:13">
      <c r="A17" s="6">
        <v>45148</v>
      </c>
      <c r="B17" s="5" t="s">
        <v>9</v>
      </c>
      <c r="C17" s="5" t="s">
        <v>56</v>
      </c>
      <c r="D17" s="5">
        <v>697</v>
      </c>
      <c r="E17" s="5">
        <v>692</v>
      </c>
      <c r="F17" s="5">
        <v>7424</v>
      </c>
      <c r="G17" s="5">
        <v>7096</v>
      </c>
      <c r="H17" s="5">
        <f t="shared" si="0"/>
        <v>5</v>
      </c>
      <c r="I17" s="5">
        <f t="shared" si="1"/>
        <v>328</v>
      </c>
      <c r="J17" s="7">
        <f t="shared" si="2"/>
        <v>17.5</v>
      </c>
      <c r="K17" s="7">
        <f t="shared" si="4"/>
        <v>295.2</v>
      </c>
      <c r="L17" s="7">
        <v>260</v>
      </c>
      <c r="M17" s="8">
        <f t="shared" si="3"/>
        <v>572.70000000000005</v>
      </c>
    </row>
    <row r="18" spans="1:13">
      <c r="A18" s="6">
        <v>45179</v>
      </c>
      <c r="B18" s="5" t="s">
        <v>9</v>
      </c>
      <c r="C18" s="5" t="s">
        <v>56</v>
      </c>
      <c r="D18" s="5">
        <v>707</v>
      </c>
      <c r="E18" s="5">
        <v>697</v>
      </c>
      <c r="F18" s="5">
        <v>7337</v>
      </c>
      <c r="G18" s="5">
        <v>7242</v>
      </c>
      <c r="H18" s="5">
        <f t="shared" si="0"/>
        <v>10</v>
      </c>
      <c r="I18" s="5">
        <f t="shared" si="1"/>
        <v>95</v>
      </c>
      <c r="J18" s="7">
        <f t="shared" si="2"/>
        <v>35</v>
      </c>
      <c r="K18" s="7">
        <f t="shared" si="4"/>
        <v>85.5</v>
      </c>
      <c r="L18" s="7">
        <v>260</v>
      </c>
      <c r="M18" s="8">
        <f t="shared" si="3"/>
        <v>380.5</v>
      </c>
    </row>
    <row r="19" spans="1:13">
      <c r="A19" s="6">
        <v>45209</v>
      </c>
      <c r="B19" s="5" t="s">
        <v>9</v>
      </c>
      <c r="C19" s="5" t="s">
        <v>56</v>
      </c>
      <c r="D19" s="5">
        <v>711</v>
      </c>
      <c r="E19" s="5">
        <v>707</v>
      </c>
      <c r="F19" s="5">
        <v>7406</v>
      </c>
      <c r="G19" s="5">
        <v>7337</v>
      </c>
      <c r="H19" s="5">
        <f t="shared" si="0"/>
        <v>4</v>
      </c>
      <c r="I19" s="5">
        <f t="shared" si="1"/>
        <v>69</v>
      </c>
      <c r="J19" s="7">
        <f t="shared" si="2"/>
        <v>14</v>
      </c>
      <c r="K19" s="7">
        <f>I19*1</f>
        <v>69</v>
      </c>
      <c r="L19" s="7">
        <v>260</v>
      </c>
      <c r="M19" s="8">
        <f t="shared" si="3"/>
        <v>343</v>
      </c>
    </row>
    <row r="20" spans="1:13">
      <c r="A20" s="6">
        <v>45240</v>
      </c>
      <c r="B20" s="5" t="s">
        <v>9</v>
      </c>
      <c r="C20" s="5" t="s">
        <v>56</v>
      </c>
      <c r="D20" s="5">
        <v>715</v>
      </c>
      <c r="E20" s="5">
        <v>711</v>
      </c>
      <c r="F20" s="5">
        <v>7490</v>
      </c>
      <c r="G20" s="5">
        <v>7406</v>
      </c>
      <c r="H20" s="5">
        <f t="shared" ref="H20:H24" si="5">D20-E20</f>
        <v>4</v>
      </c>
      <c r="I20" s="5">
        <f t="shared" ref="I20:I24" si="6">F20-G20</f>
        <v>84</v>
      </c>
      <c r="J20" s="7">
        <f t="shared" ref="J20:J24" si="7">H20*3.5</f>
        <v>14</v>
      </c>
      <c r="K20" s="7">
        <f t="shared" ref="K20:K25" si="8">I20*1</f>
        <v>84</v>
      </c>
      <c r="L20" s="7">
        <v>260</v>
      </c>
      <c r="M20" s="8">
        <f t="shared" si="3"/>
        <v>358</v>
      </c>
    </row>
    <row r="21" spans="1:13">
      <c r="A21" s="6">
        <v>45270</v>
      </c>
      <c r="B21" s="5" t="s">
        <v>9</v>
      </c>
      <c r="C21" s="5" t="s">
        <v>56</v>
      </c>
      <c r="D21" s="5">
        <v>722</v>
      </c>
      <c r="E21" s="5">
        <v>715</v>
      </c>
      <c r="F21" s="5">
        <v>7596</v>
      </c>
      <c r="G21" s="5">
        <v>7490</v>
      </c>
      <c r="H21" s="5">
        <f t="shared" si="5"/>
        <v>7</v>
      </c>
      <c r="I21" s="5">
        <f t="shared" si="6"/>
        <v>106</v>
      </c>
      <c r="J21" s="7">
        <f t="shared" si="7"/>
        <v>24.5</v>
      </c>
      <c r="K21" s="7">
        <f t="shared" si="8"/>
        <v>106</v>
      </c>
      <c r="L21" s="7">
        <v>260</v>
      </c>
      <c r="M21" s="8">
        <f t="shared" si="3"/>
        <v>390.5</v>
      </c>
    </row>
    <row r="22" spans="1:13">
      <c r="A22" s="6">
        <v>45301</v>
      </c>
      <c r="B22" s="5" t="s">
        <v>9</v>
      </c>
      <c r="C22" s="5" t="s">
        <v>56</v>
      </c>
      <c r="D22" s="5">
        <v>734</v>
      </c>
      <c r="E22" s="5">
        <v>722</v>
      </c>
      <c r="F22" s="5">
        <v>7692</v>
      </c>
      <c r="G22" s="5">
        <v>7596</v>
      </c>
      <c r="H22" s="5">
        <f t="shared" si="5"/>
        <v>12</v>
      </c>
      <c r="I22" s="5">
        <f t="shared" si="6"/>
        <v>96</v>
      </c>
      <c r="J22" s="7">
        <f t="shared" si="7"/>
        <v>42</v>
      </c>
      <c r="K22" s="7">
        <f t="shared" si="8"/>
        <v>96</v>
      </c>
      <c r="L22" s="7">
        <v>260</v>
      </c>
      <c r="M22" s="8">
        <f t="shared" si="3"/>
        <v>398</v>
      </c>
    </row>
    <row r="23" spans="1:13">
      <c r="A23" s="6">
        <v>45332</v>
      </c>
      <c r="B23" s="5" t="s">
        <v>9</v>
      </c>
      <c r="C23" s="5" t="s">
        <v>56</v>
      </c>
      <c r="D23" s="5">
        <v>744</v>
      </c>
      <c r="E23" s="5">
        <v>734</v>
      </c>
      <c r="F23" s="5">
        <v>7761</v>
      </c>
      <c r="G23" s="5">
        <v>7692</v>
      </c>
      <c r="H23" s="5">
        <f t="shared" si="5"/>
        <v>10</v>
      </c>
      <c r="I23" s="5">
        <f t="shared" si="6"/>
        <v>69</v>
      </c>
      <c r="J23" s="7">
        <f t="shared" si="7"/>
        <v>35</v>
      </c>
      <c r="K23" s="7">
        <f t="shared" si="8"/>
        <v>69</v>
      </c>
      <c r="L23" s="7">
        <v>260</v>
      </c>
      <c r="M23" s="8">
        <f t="shared" si="3"/>
        <v>364</v>
      </c>
    </row>
    <row r="24" spans="1:13">
      <c r="A24" s="6">
        <v>45361</v>
      </c>
      <c r="B24" s="5" t="s">
        <v>9</v>
      </c>
      <c r="C24" s="5" t="s">
        <v>56</v>
      </c>
      <c r="D24" s="5">
        <v>750</v>
      </c>
      <c r="E24" s="5">
        <v>744</v>
      </c>
      <c r="F24" s="5">
        <v>7825</v>
      </c>
      <c r="G24" s="5">
        <v>7761</v>
      </c>
      <c r="H24" s="5">
        <f t="shared" si="5"/>
        <v>6</v>
      </c>
      <c r="I24" s="5">
        <f t="shared" si="6"/>
        <v>64</v>
      </c>
      <c r="J24" s="7">
        <f t="shared" si="7"/>
        <v>21</v>
      </c>
      <c r="K24" s="7">
        <f t="shared" si="8"/>
        <v>64</v>
      </c>
      <c r="L24" s="7">
        <v>260</v>
      </c>
      <c r="M24" s="8">
        <f t="shared" si="3"/>
        <v>345</v>
      </c>
    </row>
    <row r="25" spans="1:13">
      <c r="A25" s="6">
        <v>45392</v>
      </c>
      <c r="B25" s="5" t="s">
        <v>9</v>
      </c>
      <c r="C25" s="5" t="s">
        <v>56</v>
      </c>
      <c r="D25" s="5">
        <v>754</v>
      </c>
      <c r="E25" s="5">
        <v>750</v>
      </c>
      <c r="F25" s="5">
        <v>7921</v>
      </c>
      <c r="G25" s="5">
        <v>7825</v>
      </c>
      <c r="H25" s="5">
        <f t="shared" ref="H25:H49" si="9">D25-E25</f>
        <v>4</v>
      </c>
      <c r="I25" s="5">
        <f t="shared" ref="I25:I49" si="10">F25-G25</f>
        <v>96</v>
      </c>
      <c r="J25" s="7">
        <f t="shared" ref="J25:J49" si="11">H25*3.5</f>
        <v>14</v>
      </c>
      <c r="K25" s="7">
        <f t="shared" si="8"/>
        <v>96</v>
      </c>
      <c r="L25" s="7">
        <v>260</v>
      </c>
      <c r="M25" s="8">
        <f t="shared" ref="M25:M49" si="12">J25+K25+L25</f>
        <v>370</v>
      </c>
    </row>
    <row r="26" spans="1:13">
      <c r="A26" s="6">
        <v>45422</v>
      </c>
      <c r="B26" s="5" t="s">
        <v>9</v>
      </c>
      <c r="C26" s="5" t="s">
        <v>56</v>
      </c>
      <c r="D26" s="5">
        <v>758</v>
      </c>
      <c r="E26" s="5">
        <v>754</v>
      </c>
      <c r="F26" s="5">
        <v>8005</v>
      </c>
      <c r="G26" s="5">
        <v>7921</v>
      </c>
      <c r="H26" s="5">
        <f t="shared" si="9"/>
        <v>4</v>
      </c>
      <c r="I26" s="5">
        <f t="shared" si="10"/>
        <v>84</v>
      </c>
      <c r="J26" s="7">
        <f t="shared" si="11"/>
        <v>14</v>
      </c>
      <c r="K26" s="7">
        <f t="shared" ref="K26:K49" si="13">I26*1</f>
        <v>84</v>
      </c>
      <c r="L26" s="7">
        <v>260</v>
      </c>
      <c r="M26" s="8">
        <f t="shared" si="12"/>
        <v>358</v>
      </c>
    </row>
    <row r="27" spans="1:13">
      <c r="A27" s="6">
        <v>45453</v>
      </c>
      <c r="B27" s="5" t="s">
        <v>9</v>
      </c>
      <c r="C27" s="5" t="s">
        <v>56</v>
      </c>
      <c r="D27" s="5">
        <v>762</v>
      </c>
      <c r="E27" s="5">
        <v>758</v>
      </c>
      <c r="F27" s="5">
        <v>8077</v>
      </c>
      <c r="G27" s="5">
        <v>8005</v>
      </c>
      <c r="H27" s="5">
        <f t="shared" si="9"/>
        <v>4</v>
      </c>
      <c r="I27" s="5">
        <f t="shared" si="10"/>
        <v>72</v>
      </c>
      <c r="J27" s="7">
        <f t="shared" si="11"/>
        <v>14</v>
      </c>
      <c r="K27" s="7">
        <f t="shared" si="13"/>
        <v>72</v>
      </c>
      <c r="L27" s="7">
        <v>260</v>
      </c>
      <c r="M27" s="8">
        <f t="shared" si="12"/>
        <v>346</v>
      </c>
    </row>
    <row r="28" spans="1:13">
      <c r="A28" s="6">
        <v>45483</v>
      </c>
      <c r="B28" s="5" t="s">
        <v>9</v>
      </c>
      <c r="C28" s="5" t="s">
        <v>56</v>
      </c>
      <c r="D28" s="5">
        <v>766</v>
      </c>
      <c r="E28" s="5">
        <v>762</v>
      </c>
      <c r="F28" s="5">
        <v>8215</v>
      </c>
      <c r="G28" s="5">
        <v>8077</v>
      </c>
      <c r="H28" s="5">
        <f t="shared" si="9"/>
        <v>4</v>
      </c>
      <c r="I28" s="5">
        <f t="shared" si="10"/>
        <v>138</v>
      </c>
      <c r="J28" s="7">
        <f t="shared" si="11"/>
        <v>14</v>
      </c>
      <c r="K28" s="7">
        <f t="shared" si="13"/>
        <v>138</v>
      </c>
      <c r="L28" s="7">
        <v>260</v>
      </c>
      <c r="M28" s="8">
        <f t="shared" si="12"/>
        <v>412</v>
      </c>
    </row>
    <row r="29" spans="1:13">
      <c r="A29" s="6">
        <v>45514</v>
      </c>
      <c r="B29" s="5" t="s">
        <v>9</v>
      </c>
      <c r="C29" s="5" t="s">
        <v>56</v>
      </c>
      <c r="D29" s="5">
        <v>770</v>
      </c>
      <c r="E29" s="5">
        <v>766</v>
      </c>
      <c r="F29" s="5">
        <v>8383</v>
      </c>
      <c r="G29" s="5">
        <v>8215</v>
      </c>
      <c r="H29" s="5">
        <f t="shared" si="9"/>
        <v>4</v>
      </c>
      <c r="I29" s="5">
        <f t="shared" si="10"/>
        <v>168</v>
      </c>
      <c r="J29" s="7">
        <f t="shared" si="11"/>
        <v>14</v>
      </c>
      <c r="K29" s="7">
        <f t="shared" si="13"/>
        <v>168</v>
      </c>
      <c r="L29" s="7">
        <v>260</v>
      </c>
      <c r="M29" s="8">
        <f t="shared" si="12"/>
        <v>442</v>
      </c>
    </row>
    <row r="30" spans="1:13">
      <c r="A30" s="6">
        <v>45545</v>
      </c>
      <c r="B30" s="5" t="s">
        <v>9</v>
      </c>
      <c r="C30" s="5" t="s">
        <v>56</v>
      </c>
      <c r="D30" s="5">
        <v>775</v>
      </c>
      <c r="E30" s="5">
        <v>770</v>
      </c>
      <c r="F30" s="5">
        <v>8497</v>
      </c>
      <c r="G30" s="5">
        <v>8383</v>
      </c>
      <c r="H30" s="5">
        <f t="shared" si="9"/>
        <v>5</v>
      </c>
      <c r="I30" s="5">
        <f t="shared" si="10"/>
        <v>114</v>
      </c>
      <c r="J30" s="7">
        <f t="shared" si="11"/>
        <v>17.5</v>
      </c>
      <c r="K30" s="7">
        <f t="shared" si="13"/>
        <v>114</v>
      </c>
      <c r="L30" s="7">
        <v>260</v>
      </c>
      <c r="M30" s="8">
        <f t="shared" si="12"/>
        <v>391.5</v>
      </c>
    </row>
    <row r="31" spans="1:13">
      <c r="A31" s="6">
        <v>45575</v>
      </c>
      <c r="B31" s="5" t="s">
        <v>9</v>
      </c>
      <c r="C31" s="5" t="s">
        <v>56</v>
      </c>
      <c r="D31" s="5">
        <v>779</v>
      </c>
      <c r="E31" s="5">
        <v>775</v>
      </c>
      <c r="F31" s="5">
        <v>8575</v>
      </c>
      <c r="G31" s="5">
        <v>8497</v>
      </c>
      <c r="H31" s="5">
        <f t="shared" si="9"/>
        <v>4</v>
      </c>
      <c r="I31" s="5">
        <f t="shared" si="10"/>
        <v>78</v>
      </c>
      <c r="J31" s="7">
        <f t="shared" si="11"/>
        <v>14</v>
      </c>
      <c r="K31" s="7">
        <f t="shared" si="13"/>
        <v>78</v>
      </c>
      <c r="L31" s="7">
        <v>260</v>
      </c>
      <c r="M31" s="8">
        <f t="shared" si="12"/>
        <v>352</v>
      </c>
    </row>
    <row r="32" spans="1:13">
      <c r="A32" s="6">
        <v>45606</v>
      </c>
      <c r="B32" s="5" t="s">
        <v>9</v>
      </c>
      <c r="C32" s="5" t="s">
        <v>56</v>
      </c>
      <c r="D32" s="5">
        <v>783</v>
      </c>
      <c r="E32" s="5">
        <v>779</v>
      </c>
      <c r="F32" s="5">
        <v>8653</v>
      </c>
      <c r="G32" s="5">
        <v>8575</v>
      </c>
      <c r="H32" s="5">
        <f t="shared" si="9"/>
        <v>4</v>
      </c>
      <c r="I32" s="5">
        <f t="shared" si="10"/>
        <v>78</v>
      </c>
      <c r="J32" s="7">
        <f t="shared" si="11"/>
        <v>14</v>
      </c>
      <c r="K32" s="7">
        <f t="shared" si="13"/>
        <v>78</v>
      </c>
      <c r="L32" s="7">
        <v>260</v>
      </c>
      <c r="M32" s="8">
        <f t="shared" si="12"/>
        <v>352</v>
      </c>
    </row>
    <row r="33" spans="1:15">
      <c r="A33" s="6">
        <v>45636</v>
      </c>
      <c r="B33" s="5" t="s">
        <v>9</v>
      </c>
      <c r="C33" s="5" t="s">
        <v>56</v>
      </c>
      <c r="D33" s="5">
        <v>786</v>
      </c>
      <c r="E33" s="5">
        <v>783</v>
      </c>
      <c r="F33" s="5">
        <v>8730</v>
      </c>
      <c r="G33" s="5">
        <v>8653</v>
      </c>
      <c r="H33" s="5">
        <f t="shared" si="9"/>
        <v>3</v>
      </c>
      <c r="I33" s="5">
        <f t="shared" si="10"/>
        <v>77</v>
      </c>
      <c r="J33" s="7">
        <f t="shared" si="11"/>
        <v>10.5</v>
      </c>
      <c r="K33" s="7">
        <f t="shared" si="13"/>
        <v>77</v>
      </c>
      <c r="L33" s="7">
        <v>260</v>
      </c>
      <c r="M33" s="8">
        <f t="shared" si="12"/>
        <v>347.5</v>
      </c>
    </row>
    <row r="34" spans="1:15">
      <c r="A34" s="6">
        <v>45672</v>
      </c>
      <c r="B34" s="5" t="s">
        <v>9</v>
      </c>
      <c r="C34" s="5" t="s">
        <v>56</v>
      </c>
      <c r="D34" s="5">
        <v>789</v>
      </c>
      <c r="E34" s="5">
        <v>786</v>
      </c>
      <c r="F34" s="5">
        <v>8834</v>
      </c>
      <c r="G34" s="5">
        <v>8730</v>
      </c>
      <c r="H34" s="5">
        <f t="shared" si="9"/>
        <v>3</v>
      </c>
      <c r="I34" s="5">
        <f t="shared" si="10"/>
        <v>104</v>
      </c>
      <c r="J34" s="7">
        <f t="shared" si="11"/>
        <v>10.5</v>
      </c>
      <c r="K34" s="7">
        <f t="shared" si="13"/>
        <v>104</v>
      </c>
      <c r="L34" s="7">
        <v>270</v>
      </c>
      <c r="M34" s="8">
        <f t="shared" si="12"/>
        <v>384.5</v>
      </c>
      <c r="O34" s="5" t="s">
        <v>55</v>
      </c>
    </row>
    <row r="35" spans="1:15">
      <c r="A35" s="6">
        <v>45703</v>
      </c>
      <c r="B35" s="5" t="s">
        <v>9</v>
      </c>
      <c r="C35" s="5" t="s">
        <v>56</v>
      </c>
      <c r="D35" s="5">
        <v>792</v>
      </c>
      <c r="E35" s="5">
        <v>789</v>
      </c>
      <c r="F35" s="5">
        <v>8919</v>
      </c>
      <c r="G35" s="5">
        <v>8843</v>
      </c>
      <c r="H35" s="5">
        <f t="shared" si="9"/>
        <v>3</v>
      </c>
      <c r="I35" s="5">
        <f t="shared" si="10"/>
        <v>76</v>
      </c>
      <c r="J35" s="7">
        <f t="shared" si="11"/>
        <v>10.5</v>
      </c>
      <c r="K35" s="7">
        <f t="shared" si="13"/>
        <v>76</v>
      </c>
      <c r="L35" s="7">
        <v>270</v>
      </c>
      <c r="M35" s="8">
        <f t="shared" si="12"/>
        <v>356.5</v>
      </c>
    </row>
    <row r="36" spans="1:15">
      <c r="A36" s="6">
        <v>45731</v>
      </c>
      <c r="B36" s="5" t="s">
        <v>9</v>
      </c>
      <c r="C36" s="5" t="s">
        <v>56</v>
      </c>
      <c r="D36" s="5">
        <v>795</v>
      </c>
      <c r="E36" s="5">
        <v>792</v>
      </c>
      <c r="F36" s="5">
        <v>9004</v>
      </c>
      <c r="G36" s="5">
        <v>8919</v>
      </c>
      <c r="H36" s="5">
        <f t="shared" si="9"/>
        <v>3</v>
      </c>
      <c r="I36" s="5">
        <f t="shared" si="10"/>
        <v>85</v>
      </c>
      <c r="J36" s="7">
        <f t="shared" si="11"/>
        <v>10.5</v>
      </c>
      <c r="K36" s="7">
        <f t="shared" si="13"/>
        <v>85</v>
      </c>
      <c r="L36" s="7">
        <v>270</v>
      </c>
      <c r="M36" s="8">
        <f t="shared" si="12"/>
        <v>365.5</v>
      </c>
    </row>
    <row r="37" spans="1:15">
      <c r="A37" s="6">
        <v>45762</v>
      </c>
      <c r="B37" s="5" t="s">
        <v>9</v>
      </c>
      <c r="C37" s="5" t="s">
        <v>56</v>
      </c>
      <c r="D37" s="5">
        <v>799</v>
      </c>
      <c r="E37" s="5">
        <v>795</v>
      </c>
      <c r="F37" s="5">
        <v>9083</v>
      </c>
      <c r="G37" s="5">
        <v>9004</v>
      </c>
      <c r="H37" s="5">
        <f t="shared" si="9"/>
        <v>4</v>
      </c>
      <c r="I37" s="5">
        <f t="shared" si="10"/>
        <v>79</v>
      </c>
      <c r="J37" s="7">
        <f t="shared" si="11"/>
        <v>14</v>
      </c>
      <c r="K37" s="7">
        <f t="shared" si="13"/>
        <v>79</v>
      </c>
      <c r="L37" s="7">
        <v>270</v>
      </c>
      <c r="M37" s="8">
        <f t="shared" si="12"/>
        <v>363</v>
      </c>
    </row>
    <row r="38" spans="1:15" ht="20">
      <c r="A38" s="6">
        <v>45792</v>
      </c>
      <c r="B38" s="5" t="s">
        <v>9</v>
      </c>
      <c r="C38" s="5" t="s">
        <v>56</v>
      </c>
      <c r="D38" s="5">
        <v>802</v>
      </c>
      <c r="E38" s="5">
        <v>799</v>
      </c>
      <c r="F38" s="1">
        <v>9130</v>
      </c>
      <c r="G38" s="5">
        <v>9083</v>
      </c>
      <c r="H38" s="5">
        <f t="shared" si="9"/>
        <v>3</v>
      </c>
      <c r="I38" s="5">
        <f t="shared" si="10"/>
        <v>47</v>
      </c>
      <c r="J38" s="7">
        <f t="shared" si="11"/>
        <v>10.5</v>
      </c>
      <c r="K38" s="7">
        <f t="shared" si="13"/>
        <v>47</v>
      </c>
      <c r="L38" s="7">
        <v>270</v>
      </c>
      <c r="M38" s="8">
        <f t="shared" si="12"/>
        <v>327.5</v>
      </c>
    </row>
    <row r="39" spans="1:15">
      <c r="A39" s="6">
        <v>45792</v>
      </c>
      <c r="B39" s="5" t="s">
        <v>9</v>
      </c>
      <c r="C39" s="5" t="s">
        <v>56</v>
      </c>
      <c r="D39" s="5">
        <v>0</v>
      </c>
      <c r="E39" s="5">
        <v>0</v>
      </c>
      <c r="F39" s="5">
        <v>36</v>
      </c>
      <c r="G39" s="5">
        <v>0</v>
      </c>
      <c r="H39" s="5">
        <f t="shared" si="9"/>
        <v>0</v>
      </c>
      <c r="I39" s="5">
        <f t="shared" si="10"/>
        <v>36</v>
      </c>
      <c r="J39" s="7">
        <f t="shared" si="11"/>
        <v>0</v>
      </c>
      <c r="K39" s="7">
        <f t="shared" si="13"/>
        <v>36</v>
      </c>
      <c r="L39" s="7">
        <v>0</v>
      </c>
      <c r="M39" s="8">
        <f t="shared" si="12"/>
        <v>36</v>
      </c>
    </row>
    <row r="40" spans="1:15">
      <c r="A40" s="6">
        <v>45823</v>
      </c>
      <c r="B40" s="5" t="s">
        <v>9</v>
      </c>
      <c r="C40" s="5" t="s">
        <v>56</v>
      </c>
      <c r="D40" s="5">
        <v>805</v>
      </c>
      <c r="E40" s="5">
        <v>802</v>
      </c>
      <c r="F40" s="5">
        <v>126</v>
      </c>
      <c r="G40" s="5">
        <v>36</v>
      </c>
      <c r="H40" s="5">
        <f t="shared" si="9"/>
        <v>3</v>
      </c>
      <c r="I40" s="5">
        <f t="shared" si="10"/>
        <v>90</v>
      </c>
      <c r="J40" s="7">
        <f t="shared" si="11"/>
        <v>10.5</v>
      </c>
      <c r="K40" s="7">
        <f t="shared" si="13"/>
        <v>90</v>
      </c>
      <c r="L40" s="7">
        <v>270</v>
      </c>
      <c r="M40" s="8">
        <f t="shared" si="12"/>
        <v>370.5</v>
      </c>
    </row>
    <row r="41" spans="1:15">
      <c r="A41" s="6">
        <v>45853</v>
      </c>
      <c r="B41" s="5" t="s">
        <v>75</v>
      </c>
      <c r="C41" s="5" t="s">
        <v>56</v>
      </c>
      <c r="D41" s="5">
        <v>809</v>
      </c>
      <c r="E41" s="5">
        <v>805</v>
      </c>
      <c r="F41" s="5">
        <v>228</v>
      </c>
      <c r="G41" s="5">
        <v>126</v>
      </c>
      <c r="H41" s="5">
        <f t="shared" si="9"/>
        <v>4</v>
      </c>
      <c r="I41" s="5">
        <f t="shared" si="10"/>
        <v>102</v>
      </c>
      <c r="J41" s="7">
        <f t="shared" si="11"/>
        <v>14</v>
      </c>
      <c r="K41" s="7">
        <f t="shared" si="13"/>
        <v>102</v>
      </c>
      <c r="L41" s="7">
        <v>270</v>
      </c>
      <c r="M41" s="8">
        <f t="shared" si="12"/>
        <v>386</v>
      </c>
    </row>
    <row r="42" spans="1:15">
      <c r="A42" s="6">
        <v>45884</v>
      </c>
      <c r="B42" s="5" t="s">
        <v>75</v>
      </c>
      <c r="C42" s="5" t="s">
        <v>56</v>
      </c>
      <c r="D42" s="5">
        <v>812</v>
      </c>
      <c r="E42" s="5">
        <v>809</v>
      </c>
      <c r="F42" s="5">
        <v>320</v>
      </c>
      <c r="G42" s="5">
        <v>228</v>
      </c>
      <c r="H42" s="5">
        <f t="shared" si="9"/>
        <v>3</v>
      </c>
      <c r="I42" s="5">
        <f t="shared" si="10"/>
        <v>92</v>
      </c>
      <c r="J42" s="7">
        <f t="shared" si="11"/>
        <v>10.5</v>
      </c>
      <c r="K42" s="7">
        <f t="shared" si="13"/>
        <v>92</v>
      </c>
      <c r="L42" s="7">
        <v>270</v>
      </c>
      <c r="M42" s="8">
        <f t="shared" si="12"/>
        <v>372.5</v>
      </c>
    </row>
    <row r="43" spans="1:15">
      <c r="A43" s="6">
        <v>45915</v>
      </c>
      <c r="B43" s="5" t="s">
        <v>75</v>
      </c>
      <c r="C43" s="5" t="s">
        <v>56</v>
      </c>
      <c r="D43" s="5">
        <v>817</v>
      </c>
      <c r="E43" s="5">
        <v>812</v>
      </c>
      <c r="F43" s="5">
        <v>407</v>
      </c>
      <c r="G43" s="5">
        <v>320</v>
      </c>
      <c r="H43" s="5">
        <f t="shared" si="9"/>
        <v>5</v>
      </c>
      <c r="I43" s="5">
        <f t="shared" si="10"/>
        <v>87</v>
      </c>
      <c r="J43" s="7">
        <f t="shared" si="11"/>
        <v>17.5</v>
      </c>
      <c r="K43" s="7">
        <f t="shared" si="13"/>
        <v>87</v>
      </c>
      <c r="L43" s="7">
        <v>270</v>
      </c>
      <c r="M43" s="8">
        <f t="shared" si="12"/>
        <v>374.5</v>
      </c>
    </row>
    <row r="44" spans="1:15">
      <c r="A44" s="6">
        <v>45945</v>
      </c>
      <c r="B44" s="5" t="s">
        <v>75</v>
      </c>
      <c r="C44" s="5" t="s">
        <v>56</v>
      </c>
      <c r="D44" s="5">
        <v>821</v>
      </c>
      <c r="E44" s="5">
        <v>817</v>
      </c>
      <c r="F44" s="5">
        <v>473</v>
      </c>
      <c r="G44" s="5">
        <v>407</v>
      </c>
      <c r="H44" s="5">
        <f t="shared" si="9"/>
        <v>4</v>
      </c>
      <c r="I44" s="5">
        <f t="shared" si="10"/>
        <v>66</v>
      </c>
      <c r="J44" s="7">
        <f t="shared" si="11"/>
        <v>14</v>
      </c>
      <c r="K44" s="7">
        <f t="shared" si="13"/>
        <v>66</v>
      </c>
      <c r="L44" s="7">
        <v>270</v>
      </c>
      <c r="M44" s="8">
        <f t="shared" si="12"/>
        <v>350</v>
      </c>
    </row>
    <row r="45" spans="1:15">
      <c r="A45" s="6">
        <v>45976</v>
      </c>
      <c r="B45" s="5" t="s">
        <v>75</v>
      </c>
      <c r="C45" s="5" t="s">
        <v>56</v>
      </c>
      <c r="D45" s="5">
        <v>824</v>
      </c>
      <c r="E45" s="5">
        <v>821</v>
      </c>
      <c r="F45" s="5">
        <v>513</v>
      </c>
      <c r="G45" s="5">
        <v>473</v>
      </c>
      <c r="H45" s="5">
        <f t="shared" si="9"/>
        <v>3</v>
      </c>
      <c r="I45" s="5">
        <f t="shared" si="10"/>
        <v>40</v>
      </c>
      <c r="J45" s="7">
        <f t="shared" si="11"/>
        <v>10.5</v>
      </c>
      <c r="K45" s="7">
        <f t="shared" si="13"/>
        <v>40</v>
      </c>
      <c r="L45" s="7">
        <v>270</v>
      </c>
      <c r="M45" s="8">
        <f t="shared" si="12"/>
        <v>320.5</v>
      </c>
    </row>
    <row r="46" spans="1:15">
      <c r="A46" s="6">
        <v>46006</v>
      </c>
      <c r="B46" s="5" t="s">
        <v>75</v>
      </c>
      <c r="C46" s="5" t="s">
        <v>288</v>
      </c>
      <c r="D46" s="5">
        <v>828</v>
      </c>
      <c r="E46" s="5">
        <v>824</v>
      </c>
      <c r="F46" s="5">
        <v>577</v>
      </c>
      <c r="G46" s="5">
        <v>513</v>
      </c>
      <c r="H46" s="5">
        <f t="shared" si="9"/>
        <v>4</v>
      </c>
      <c r="I46" s="5">
        <f t="shared" si="10"/>
        <v>64</v>
      </c>
      <c r="J46" s="7">
        <f t="shared" si="11"/>
        <v>14</v>
      </c>
      <c r="K46" s="7">
        <f t="shared" si="13"/>
        <v>64</v>
      </c>
      <c r="L46" s="7">
        <v>270</v>
      </c>
      <c r="M46" s="8">
        <f t="shared" si="12"/>
        <v>348</v>
      </c>
    </row>
    <row r="47" spans="1:15">
      <c r="A47" s="6">
        <v>46037</v>
      </c>
      <c r="B47" s="5" t="s">
        <v>75</v>
      </c>
      <c r="C47" s="5" t="s">
        <v>288</v>
      </c>
      <c r="D47" s="5">
        <v>832</v>
      </c>
      <c r="E47" s="5">
        <v>828</v>
      </c>
      <c r="F47" s="5">
        <v>652</v>
      </c>
      <c r="G47" s="5">
        <v>577</v>
      </c>
      <c r="H47" s="5">
        <f t="shared" si="9"/>
        <v>4</v>
      </c>
      <c r="I47" s="5">
        <f t="shared" si="10"/>
        <v>75</v>
      </c>
      <c r="J47" s="7">
        <f t="shared" si="11"/>
        <v>14</v>
      </c>
      <c r="K47" s="7">
        <f t="shared" si="13"/>
        <v>75</v>
      </c>
      <c r="L47" s="7">
        <v>270</v>
      </c>
      <c r="M47" s="8">
        <f t="shared" si="12"/>
        <v>359</v>
      </c>
    </row>
    <row r="48" spans="1:15">
      <c r="A48" s="6">
        <v>46068</v>
      </c>
      <c r="B48" s="5" t="s">
        <v>75</v>
      </c>
      <c r="C48" s="5" t="s">
        <v>288</v>
      </c>
      <c r="D48" s="5">
        <v>0</v>
      </c>
      <c r="E48" s="5">
        <v>0</v>
      </c>
      <c r="F48" s="5">
        <v>0</v>
      </c>
      <c r="G48" s="5">
        <v>0</v>
      </c>
      <c r="H48" s="5">
        <f t="shared" si="9"/>
        <v>0</v>
      </c>
      <c r="I48" s="5">
        <f t="shared" si="10"/>
        <v>0</v>
      </c>
      <c r="J48" s="7">
        <f t="shared" si="11"/>
        <v>0</v>
      </c>
      <c r="K48" s="7">
        <f t="shared" si="13"/>
        <v>0</v>
      </c>
      <c r="L48" s="7">
        <v>270</v>
      </c>
      <c r="M48" s="8">
        <f t="shared" si="12"/>
        <v>270</v>
      </c>
    </row>
    <row r="49" spans="1:13">
      <c r="A49" s="6">
        <v>46096</v>
      </c>
      <c r="B49" s="5" t="s">
        <v>325</v>
      </c>
      <c r="C49" s="5" t="s">
        <v>326</v>
      </c>
      <c r="D49" s="5">
        <v>837</v>
      </c>
      <c r="E49" s="5">
        <v>832</v>
      </c>
      <c r="F49" s="5">
        <v>767</v>
      </c>
      <c r="G49" s="5">
        <v>652</v>
      </c>
      <c r="H49" s="5">
        <f t="shared" si="9"/>
        <v>5</v>
      </c>
      <c r="I49" s="5">
        <f t="shared" si="10"/>
        <v>115</v>
      </c>
      <c r="J49" s="7">
        <f t="shared" si="11"/>
        <v>17.5</v>
      </c>
      <c r="K49" s="7">
        <f t="shared" si="13"/>
        <v>115</v>
      </c>
      <c r="L49" s="7">
        <v>270</v>
      </c>
      <c r="M49" s="8">
        <f t="shared" si="12"/>
        <v>402.5</v>
      </c>
    </row>
    <row r="50" spans="1:13">
      <c r="A50" s="3" t="s">
        <v>108</v>
      </c>
      <c r="B50" s="4" t="s">
        <v>107</v>
      </c>
      <c r="C50" s="4" t="s">
        <v>107</v>
      </c>
      <c r="D50" s="4" t="s">
        <v>107</v>
      </c>
      <c r="E50" s="4" t="s">
        <v>107</v>
      </c>
      <c r="F50" s="4" t="s">
        <v>107</v>
      </c>
      <c r="G50" s="4" t="s">
        <v>107</v>
      </c>
      <c r="H50" s="5">
        <f t="shared" ref="H50:M50" si="14">SUBTOTAL(9,H3:H49)</f>
        <v>189</v>
      </c>
      <c r="I50" s="5">
        <f t="shared" si="14"/>
        <v>3953</v>
      </c>
      <c r="J50" s="7">
        <f t="shared" si="14"/>
        <v>661.5</v>
      </c>
      <c r="K50" s="7">
        <f t="shared" si="14"/>
        <v>3812.8</v>
      </c>
      <c r="L50" s="7">
        <f t="shared" si="14"/>
        <v>12110</v>
      </c>
      <c r="M50" s="10">
        <f t="shared" si="14"/>
        <v>16584.3</v>
      </c>
    </row>
  </sheetData>
  <mergeCells count="10">
    <mergeCell ref="L1:L2"/>
    <mergeCell ref="M1:M2"/>
    <mergeCell ref="D1:E1"/>
    <mergeCell ref="F1:G1"/>
    <mergeCell ref="H1:I1"/>
    <mergeCell ref="A1:A2"/>
    <mergeCell ref="B1:B2"/>
    <mergeCell ref="C1:C2"/>
    <mergeCell ref="J1:J2"/>
    <mergeCell ref="K1:K2"/>
  </mergeCells>
  <phoneticPr fontId="1" type="noConversion"/>
  <conditionalFormatting sqref="A1:XFD1048576">
    <cfRule type="cellIs" dxfId="11" priority="1" operator="equal">
      <formula>0</formula>
    </cfRule>
  </conditionalFormatting>
  <conditionalFormatting sqref="N3:N49">
    <cfRule type="cellIs" dxfId="10" priority="2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O50"/>
  <sheetViews>
    <sheetView topLeftCell="C1" zoomScale="120" zoomScaleNormal="120" workbookViewId="0">
      <pane ySplit="2" topLeftCell="A33" activePane="bottomLeft" state="frozen"/>
      <selection activeCell="F38" sqref="F38"/>
      <selection pane="bottomLeft" activeCell="M49" sqref="A49:XFD49"/>
    </sheetView>
  </sheetViews>
  <sheetFormatPr baseColWidth="10" defaultColWidth="10.85546875" defaultRowHeight="18"/>
  <cols>
    <col min="1" max="1" width="16.855468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2" width="9.85546875" style="7" bestFit="1" customWidth="1"/>
    <col min="13" max="13" width="13.42578125" style="8" bestFit="1" customWidth="1"/>
    <col min="14" max="14" width="9.42578125" style="5" bestFit="1" customWidth="1"/>
    <col min="15" max="15" width="50.140625" style="5" bestFit="1" customWidth="1"/>
    <col min="16" max="16384" width="10.85546875" style="5"/>
  </cols>
  <sheetData>
    <row r="1" spans="1:14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</row>
    <row r="2" spans="1:14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200</v>
      </c>
    </row>
    <row r="3" spans="1:14">
      <c r="A3" s="6">
        <v>44715</v>
      </c>
      <c r="B3" s="5" t="s">
        <v>10</v>
      </c>
      <c r="C3" s="5" t="s">
        <v>57</v>
      </c>
      <c r="D3" s="5">
        <v>0</v>
      </c>
      <c r="E3" s="5">
        <v>0</v>
      </c>
      <c r="F3" s="5">
        <v>5444</v>
      </c>
      <c r="G3" s="5">
        <v>5382</v>
      </c>
      <c r="H3" s="5">
        <f t="shared" ref="H3:H24" si="0">D3-E3</f>
        <v>0</v>
      </c>
      <c r="I3" s="5">
        <f t="shared" ref="I3:I24" si="1">F3-G3</f>
        <v>62</v>
      </c>
      <c r="J3" s="7">
        <f t="shared" ref="J3:J24" si="2">H3*3.5</f>
        <v>0</v>
      </c>
      <c r="K3" s="7">
        <f>I3*0.9</f>
        <v>55.800000000000004</v>
      </c>
      <c r="L3" s="7">
        <v>210</v>
      </c>
      <c r="M3" s="8">
        <f t="shared" ref="M3:M24" si="3">J3+K3+L3</f>
        <v>265.8</v>
      </c>
    </row>
    <row r="4" spans="1:14">
      <c r="A4" s="6">
        <v>44745</v>
      </c>
      <c r="B4" s="5" t="s">
        <v>10</v>
      </c>
      <c r="C4" s="5" t="s">
        <v>57</v>
      </c>
      <c r="D4" s="5">
        <v>272</v>
      </c>
      <c r="E4" s="5">
        <v>268</v>
      </c>
      <c r="F4" s="5">
        <v>5596</v>
      </c>
      <c r="G4" s="5">
        <v>5444</v>
      </c>
      <c r="H4" s="5">
        <f t="shared" si="0"/>
        <v>4</v>
      </c>
      <c r="I4" s="5">
        <f t="shared" si="1"/>
        <v>152</v>
      </c>
      <c r="J4" s="7">
        <f t="shared" si="2"/>
        <v>14</v>
      </c>
      <c r="K4" s="7">
        <f t="shared" ref="K4:K18" si="4">I4*0.9</f>
        <v>136.80000000000001</v>
      </c>
      <c r="L4" s="7">
        <v>210</v>
      </c>
      <c r="M4" s="8">
        <f t="shared" si="3"/>
        <v>360.8</v>
      </c>
    </row>
    <row r="5" spans="1:14">
      <c r="A5" s="6">
        <v>44776</v>
      </c>
      <c r="B5" s="5" t="s">
        <v>10</v>
      </c>
      <c r="C5" s="5" t="s">
        <v>57</v>
      </c>
      <c r="D5" s="5">
        <v>0</v>
      </c>
      <c r="E5" s="5">
        <v>0</v>
      </c>
      <c r="F5" s="5">
        <v>5717</v>
      </c>
      <c r="G5" s="5">
        <v>5596</v>
      </c>
      <c r="H5" s="5">
        <f t="shared" si="0"/>
        <v>0</v>
      </c>
      <c r="I5" s="5">
        <f t="shared" si="1"/>
        <v>121</v>
      </c>
      <c r="J5" s="7">
        <f t="shared" si="2"/>
        <v>0</v>
      </c>
      <c r="K5" s="7">
        <f t="shared" si="4"/>
        <v>108.9</v>
      </c>
      <c r="L5" s="7">
        <v>210</v>
      </c>
      <c r="M5" s="8">
        <f t="shared" si="3"/>
        <v>318.89999999999998</v>
      </c>
    </row>
    <row r="6" spans="1:14">
      <c r="A6" s="6">
        <v>44807</v>
      </c>
      <c r="B6" s="5" t="s">
        <v>10</v>
      </c>
      <c r="C6" s="5" t="s">
        <v>57</v>
      </c>
      <c r="D6" s="5">
        <v>274</v>
      </c>
      <c r="E6" s="5">
        <v>272</v>
      </c>
      <c r="F6" s="5">
        <v>5900</v>
      </c>
      <c r="G6" s="5">
        <v>5717</v>
      </c>
      <c r="H6" s="5">
        <f t="shared" si="0"/>
        <v>2</v>
      </c>
      <c r="I6" s="5">
        <f t="shared" si="1"/>
        <v>183</v>
      </c>
      <c r="J6" s="7">
        <f t="shared" si="2"/>
        <v>7</v>
      </c>
      <c r="K6" s="7">
        <f t="shared" si="4"/>
        <v>164.70000000000002</v>
      </c>
      <c r="L6" s="7">
        <v>210</v>
      </c>
      <c r="M6" s="8">
        <f t="shared" si="3"/>
        <v>381.70000000000005</v>
      </c>
    </row>
    <row r="7" spans="1:14">
      <c r="A7" s="6">
        <v>44837</v>
      </c>
      <c r="B7" s="5" t="s">
        <v>10</v>
      </c>
      <c r="C7" s="5" t="s">
        <v>57</v>
      </c>
      <c r="D7" s="5">
        <v>276</v>
      </c>
      <c r="E7" s="5">
        <v>274</v>
      </c>
      <c r="F7" s="5">
        <v>6006</v>
      </c>
      <c r="G7" s="5">
        <v>5900</v>
      </c>
      <c r="H7" s="5">
        <f t="shared" si="0"/>
        <v>2</v>
      </c>
      <c r="I7" s="5">
        <f t="shared" si="1"/>
        <v>106</v>
      </c>
      <c r="J7" s="7">
        <f t="shared" si="2"/>
        <v>7</v>
      </c>
      <c r="K7" s="7">
        <f t="shared" si="4"/>
        <v>95.4</v>
      </c>
      <c r="L7" s="7">
        <v>210</v>
      </c>
      <c r="M7" s="8">
        <f t="shared" si="3"/>
        <v>312.39999999999998</v>
      </c>
    </row>
    <row r="8" spans="1:14">
      <c r="A8" s="6">
        <v>44868</v>
      </c>
      <c r="B8" s="5" t="s">
        <v>10</v>
      </c>
      <c r="C8" s="5" t="s">
        <v>57</v>
      </c>
      <c r="D8" s="5">
        <v>278</v>
      </c>
      <c r="E8" s="5">
        <v>276</v>
      </c>
      <c r="F8" s="5">
        <v>6077</v>
      </c>
      <c r="G8" s="5">
        <v>6006</v>
      </c>
      <c r="H8" s="5">
        <f t="shared" si="0"/>
        <v>2</v>
      </c>
      <c r="I8" s="5">
        <f t="shared" si="1"/>
        <v>71</v>
      </c>
      <c r="J8" s="7">
        <f t="shared" si="2"/>
        <v>7</v>
      </c>
      <c r="K8" s="7">
        <f t="shared" si="4"/>
        <v>63.9</v>
      </c>
      <c r="L8" s="7">
        <v>210</v>
      </c>
      <c r="M8" s="8">
        <f t="shared" si="3"/>
        <v>280.89999999999998</v>
      </c>
    </row>
    <row r="9" spans="1:14">
      <c r="A9" s="6">
        <v>44898</v>
      </c>
      <c r="B9" s="5" t="s">
        <v>10</v>
      </c>
      <c r="C9" s="5" t="s">
        <v>57</v>
      </c>
      <c r="D9" s="5">
        <v>0</v>
      </c>
      <c r="E9" s="5">
        <v>0</v>
      </c>
      <c r="F9" s="5">
        <v>6126</v>
      </c>
      <c r="G9" s="5">
        <v>6077</v>
      </c>
      <c r="H9" s="5">
        <f t="shared" si="0"/>
        <v>0</v>
      </c>
      <c r="I9" s="5">
        <f t="shared" si="1"/>
        <v>49</v>
      </c>
      <c r="J9" s="7">
        <f t="shared" si="2"/>
        <v>0</v>
      </c>
      <c r="K9" s="7">
        <f t="shared" si="4"/>
        <v>44.1</v>
      </c>
      <c r="L9" s="7">
        <v>210</v>
      </c>
      <c r="M9" s="8">
        <f t="shared" si="3"/>
        <v>254.1</v>
      </c>
    </row>
    <row r="10" spans="1:14">
      <c r="A10" s="6">
        <v>44929</v>
      </c>
      <c r="B10" s="5" t="s">
        <v>10</v>
      </c>
      <c r="C10" s="5" t="s">
        <v>57</v>
      </c>
      <c r="D10" s="5">
        <v>280</v>
      </c>
      <c r="E10" s="5">
        <v>278</v>
      </c>
      <c r="F10" s="5">
        <v>6182</v>
      </c>
      <c r="G10" s="5">
        <v>6126</v>
      </c>
      <c r="H10" s="5">
        <f t="shared" si="0"/>
        <v>2</v>
      </c>
      <c r="I10" s="5">
        <f t="shared" si="1"/>
        <v>56</v>
      </c>
      <c r="J10" s="7">
        <f t="shared" si="2"/>
        <v>7</v>
      </c>
      <c r="K10" s="7">
        <f t="shared" si="4"/>
        <v>50.4</v>
      </c>
      <c r="L10" s="7">
        <v>210</v>
      </c>
      <c r="M10" s="8">
        <f t="shared" si="3"/>
        <v>267.39999999999998</v>
      </c>
    </row>
    <row r="11" spans="1:14">
      <c r="A11" s="6">
        <v>44960</v>
      </c>
      <c r="B11" s="5" t="s">
        <v>10</v>
      </c>
      <c r="C11" s="5" t="s">
        <v>57</v>
      </c>
      <c r="D11" s="5">
        <v>0</v>
      </c>
      <c r="E11" s="5">
        <v>0</v>
      </c>
      <c r="F11" s="5">
        <v>6217</v>
      </c>
      <c r="G11" s="5">
        <v>6182</v>
      </c>
      <c r="H11" s="5">
        <f t="shared" si="0"/>
        <v>0</v>
      </c>
      <c r="I11" s="5">
        <f t="shared" si="1"/>
        <v>35</v>
      </c>
      <c r="J11" s="7">
        <f t="shared" si="2"/>
        <v>0</v>
      </c>
      <c r="K11" s="7">
        <f t="shared" si="4"/>
        <v>31.5</v>
      </c>
      <c r="L11" s="7">
        <v>210</v>
      </c>
      <c r="M11" s="8">
        <f t="shared" si="3"/>
        <v>241.5</v>
      </c>
    </row>
    <row r="12" spans="1:14">
      <c r="A12" s="6">
        <v>44988</v>
      </c>
      <c r="B12" s="5" t="s">
        <v>10</v>
      </c>
      <c r="C12" s="5" t="s">
        <v>57</v>
      </c>
      <c r="D12" s="5">
        <v>288</v>
      </c>
      <c r="E12" s="5">
        <v>280</v>
      </c>
      <c r="F12" s="5">
        <v>6263</v>
      </c>
      <c r="G12" s="5">
        <v>6217</v>
      </c>
      <c r="H12" s="5">
        <f t="shared" si="0"/>
        <v>8</v>
      </c>
      <c r="I12" s="5">
        <f t="shared" si="1"/>
        <v>46</v>
      </c>
      <c r="J12" s="7">
        <f t="shared" si="2"/>
        <v>28</v>
      </c>
      <c r="K12" s="7">
        <f t="shared" si="4"/>
        <v>41.4</v>
      </c>
      <c r="L12" s="7">
        <v>210</v>
      </c>
      <c r="M12" s="8">
        <f t="shared" si="3"/>
        <v>279.39999999999998</v>
      </c>
    </row>
    <row r="13" spans="1:14">
      <c r="A13" s="6">
        <v>45019</v>
      </c>
      <c r="B13" s="5" t="s">
        <v>10</v>
      </c>
      <c r="C13" s="5" t="s">
        <v>57</v>
      </c>
      <c r="D13" s="5">
        <v>0</v>
      </c>
      <c r="E13" s="5">
        <v>0</v>
      </c>
      <c r="F13" s="5">
        <v>6339</v>
      </c>
      <c r="G13" s="5">
        <v>6263</v>
      </c>
      <c r="H13" s="5">
        <f t="shared" si="0"/>
        <v>0</v>
      </c>
      <c r="I13" s="5">
        <f t="shared" si="1"/>
        <v>76</v>
      </c>
      <c r="J13" s="7">
        <f t="shared" si="2"/>
        <v>0</v>
      </c>
      <c r="K13" s="7">
        <f t="shared" si="4"/>
        <v>68.400000000000006</v>
      </c>
      <c r="L13" s="7">
        <v>210</v>
      </c>
      <c r="M13" s="8">
        <f t="shared" si="3"/>
        <v>278.39999999999998</v>
      </c>
    </row>
    <row r="14" spans="1:14">
      <c r="A14" s="6">
        <v>45049</v>
      </c>
      <c r="B14" s="5" t="s">
        <v>10</v>
      </c>
      <c r="C14" s="5" t="s">
        <v>57</v>
      </c>
      <c r="D14" s="5">
        <v>290</v>
      </c>
      <c r="E14" s="5">
        <v>288</v>
      </c>
      <c r="F14" s="5">
        <v>6391</v>
      </c>
      <c r="G14" s="5">
        <v>6339</v>
      </c>
      <c r="H14" s="5">
        <f t="shared" si="0"/>
        <v>2</v>
      </c>
      <c r="I14" s="5">
        <f t="shared" si="1"/>
        <v>52</v>
      </c>
      <c r="J14" s="7">
        <f t="shared" si="2"/>
        <v>7</v>
      </c>
      <c r="K14" s="7">
        <f t="shared" si="4"/>
        <v>46.800000000000004</v>
      </c>
      <c r="L14" s="7">
        <v>210</v>
      </c>
      <c r="M14" s="8">
        <f t="shared" si="3"/>
        <v>263.8</v>
      </c>
    </row>
    <row r="15" spans="1:14">
      <c r="A15" s="6">
        <v>45080</v>
      </c>
      <c r="B15" s="5" t="s">
        <v>10</v>
      </c>
      <c r="C15" s="5" t="s">
        <v>57</v>
      </c>
      <c r="D15" s="5">
        <v>292</v>
      </c>
      <c r="E15" s="5">
        <v>290</v>
      </c>
      <c r="F15" s="5">
        <v>6490</v>
      </c>
      <c r="G15" s="5">
        <v>6391</v>
      </c>
      <c r="H15" s="5">
        <f t="shared" si="0"/>
        <v>2</v>
      </c>
      <c r="I15" s="5">
        <f t="shared" si="1"/>
        <v>99</v>
      </c>
      <c r="J15" s="7">
        <f t="shared" si="2"/>
        <v>7</v>
      </c>
      <c r="K15" s="7">
        <f t="shared" si="4"/>
        <v>89.100000000000009</v>
      </c>
      <c r="L15" s="7">
        <v>210</v>
      </c>
      <c r="M15" s="8">
        <f t="shared" si="3"/>
        <v>306.10000000000002</v>
      </c>
    </row>
    <row r="16" spans="1:14">
      <c r="A16" s="6">
        <v>45110</v>
      </c>
      <c r="B16" s="5" t="s">
        <v>10</v>
      </c>
      <c r="C16" s="5" t="s">
        <v>57</v>
      </c>
      <c r="D16" s="5">
        <v>294</v>
      </c>
      <c r="E16" s="5">
        <v>292</v>
      </c>
      <c r="F16" s="5">
        <v>6595</v>
      </c>
      <c r="G16" s="5">
        <v>6490</v>
      </c>
      <c r="H16" s="5">
        <f t="shared" si="0"/>
        <v>2</v>
      </c>
      <c r="I16" s="5">
        <f t="shared" si="1"/>
        <v>105</v>
      </c>
      <c r="J16" s="7">
        <f t="shared" si="2"/>
        <v>7</v>
      </c>
      <c r="K16" s="7">
        <f t="shared" si="4"/>
        <v>94.5</v>
      </c>
      <c r="L16" s="7">
        <v>210</v>
      </c>
      <c r="M16" s="8">
        <f t="shared" si="3"/>
        <v>311.5</v>
      </c>
    </row>
    <row r="17" spans="1:13">
      <c r="A17" s="6">
        <v>45141</v>
      </c>
      <c r="B17" s="5" t="s">
        <v>10</v>
      </c>
      <c r="C17" s="5" t="s">
        <v>57</v>
      </c>
      <c r="D17" s="5">
        <v>296</v>
      </c>
      <c r="E17" s="5">
        <v>294</v>
      </c>
      <c r="F17" s="5">
        <v>6767</v>
      </c>
      <c r="G17" s="5">
        <v>6595</v>
      </c>
      <c r="H17" s="5">
        <f t="shared" si="0"/>
        <v>2</v>
      </c>
      <c r="I17" s="5">
        <f t="shared" si="1"/>
        <v>172</v>
      </c>
      <c r="J17" s="7">
        <f t="shared" si="2"/>
        <v>7</v>
      </c>
      <c r="K17" s="7">
        <f t="shared" si="4"/>
        <v>154.80000000000001</v>
      </c>
      <c r="L17" s="7">
        <v>210</v>
      </c>
      <c r="M17" s="8">
        <f t="shared" si="3"/>
        <v>371.8</v>
      </c>
    </row>
    <row r="18" spans="1:13">
      <c r="A18" s="6">
        <v>45172</v>
      </c>
      <c r="B18" s="5" t="s">
        <v>10</v>
      </c>
      <c r="C18" s="5" t="s">
        <v>57</v>
      </c>
      <c r="D18" s="5">
        <v>298</v>
      </c>
      <c r="E18" s="5">
        <v>296</v>
      </c>
      <c r="F18" s="5">
        <v>6849</v>
      </c>
      <c r="G18" s="5">
        <v>6767</v>
      </c>
      <c r="H18" s="5">
        <f t="shared" si="0"/>
        <v>2</v>
      </c>
      <c r="I18" s="5">
        <f t="shared" si="1"/>
        <v>82</v>
      </c>
      <c r="J18" s="7">
        <f t="shared" si="2"/>
        <v>7</v>
      </c>
      <c r="K18" s="7">
        <f t="shared" si="4"/>
        <v>73.8</v>
      </c>
      <c r="L18" s="7">
        <v>210</v>
      </c>
      <c r="M18" s="8">
        <f t="shared" si="3"/>
        <v>290.8</v>
      </c>
    </row>
    <row r="19" spans="1:13">
      <c r="A19" s="6">
        <v>45202</v>
      </c>
      <c r="B19" s="5" t="s">
        <v>10</v>
      </c>
      <c r="C19" s="5" t="s">
        <v>57</v>
      </c>
      <c r="D19" s="5">
        <v>0</v>
      </c>
      <c r="E19" s="5">
        <v>0</v>
      </c>
      <c r="F19" s="5">
        <v>6899</v>
      </c>
      <c r="G19" s="5">
        <v>6849</v>
      </c>
      <c r="H19" s="5">
        <f t="shared" si="0"/>
        <v>0</v>
      </c>
      <c r="I19" s="5">
        <f t="shared" si="1"/>
        <v>50</v>
      </c>
      <c r="J19" s="7">
        <f t="shared" si="2"/>
        <v>0</v>
      </c>
      <c r="K19" s="7">
        <f t="shared" ref="K19:K24" si="5">I19*1</f>
        <v>50</v>
      </c>
      <c r="L19" s="7">
        <v>210</v>
      </c>
      <c r="M19" s="8">
        <f t="shared" si="3"/>
        <v>260</v>
      </c>
    </row>
    <row r="20" spans="1:13">
      <c r="A20" s="6">
        <v>45233</v>
      </c>
      <c r="B20" s="5" t="s">
        <v>10</v>
      </c>
      <c r="C20" s="5" t="s">
        <v>57</v>
      </c>
      <c r="D20" s="5">
        <v>300</v>
      </c>
      <c r="E20" s="5">
        <v>298</v>
      </c>
      <c r="F20" s="5">
        <v>6954</v>
      </c>
      <c r="G20" s="5">
        <v>6899</v>
      </c>
      <c r="H20" s="5">
        <f t="shared" si="0"/>
        <v>2</v>
      </c>
      <c r="I20" s="5">
        <f t="shared" si="1"/>
        <v>55</v>
      </c>
      <c r="J20" s="7">
        <f t="shared" si="2"/>
        <v>7</v>
      </c>
      <c r="K20" s="7">
        <f t="shared" si="5"/>
        <v>55</v>
      </c>
      <c r="L20" s="7">
        <v>210</v>
      </c>
      <c r="M20" s="8">
        <f t="shared" si="3"/>
        <v>272</v>
      </c>
    </row>
    <row r="21" spans="1:13">
      <c r="A21" s="6">
        <v>45263</v>
      </c>
      <c r="B21" s="5" t="s">
        <v>10</v>
      </c>
      <c r="C21" s="5" t="s">
        <v>57</v>
      </c>
      <c r="D21" s="5">
        <v>0</v>
      </c>
      <c r="E21" s="5">
        <v>0</v>
      </c>
      <c r="F21" s="5">
        <v>7013</v>
      </c>
      <c r="G21" s="5">
        <v>6954</v>
      </c>
      <c r="H21" s="5">
        <f t="shared" si="0"/>
        <v>0</v>
      </c>
      <c r="I21" s="5">
        <f t="shared" si="1"/>
        <v>59</v>
      </c>
      <c r="J21" s="7">
        <f t="shared" si="2"/>
        <v>0</v>
      </c>
      <c r="K21" s="7">
        <f t="shared" si="5"/>
        <v>59</v>
      </c>
      <c r="L21" s="7">
        <v>210</v>
      </c>
      <c r="M21" s="8">
        <f t="shared" si="3"/>
        <v>269</v>
      </c>
    </row>
    <row r="22" spans="1:13">
      <c r="A22" s="6">
        <v>45294</v>
      </c>
      <c r="B22" s="5" t="s">
        <v>10</v>
      </c>
      <c r="C22" s="5" t="s">
        <v>57</v>
      </c>
      <c r="D22" s="5">
        <v>302</v>
      </c>
      <c r="E22" s="5">
        <v>300</v>
      </c>
      <c r="F22" s="5">
        <v>7080</v>
      </c>
      <c r="G22" s="5">
        <v>7013</v>
      </c>
      <c r="H22" s="5">
        <f t="shared" si="0"/>
        <v>2</v>
      </c>
      <c r="I22" s="5">
        <f t="shared" si="1"/>
        <v>67</v>
      </c>
      <c r="J22" s="7">
        <f t="shared" si="2"/>
        <v>7</v>
      </c>
      <c r="K22" s="7">
        <f t="shared" si="5"/>
        <v>67</v>
      </c>
      <c r="L22" s="7">
        <v>210</v>
      </c>
      <c r="M22" s="8">
        <f t="shared" si="3"/>
        <v>284</v>
      </c>
    </row>
    <row r="23" spans="1:13">
      <c r="A23" s="6">
        <v>45325</v>
      </c>
      <c r="B23" s="5" t="s">
        <v>10</v>
      </c>
      <c r="C23" s="5" t="s">
        <v>57</v>
      </c>
      <c r="D23" s="5">
        <v>303</v>
      </c>
      <c r="E23" s="5">
        <v>302</v>
      </c>
      <c r="F23" s="5">
        <v>7120</v>
      </c>
      <c r="G23" s="5">
        <v>7080</v>
      </c>
      <c r="H23" s="5">
        <f t="shared" si="0"/>
        <v>1</v>
      </c>
      <c r="I23" s="5">
        <f t="shared" si="1"/>
        <v>40</v>
      </c>
      <c r="J23" s="7">
        <f t="shared" si="2"/>
        <v>3.5</v>
      </c>
      <c r="K23" s="7">
        <f t="shared" si="5"/>
        <v>40</v>
      </c>
      <c r="L23" s="7">
        <v>210</v>
      </c>
      <c r="M23" s="8">
        <f t="shared" si="3"/>
        <v>253.5</v>
      </c>
    </row>
    <row r="24" spans="1:13">
      <c r="A24" s="6">
        <v>45354</v>
      </c>
      <c r="B24" s="5" t="s">
        <v>10</v>
      </c>
      <c r="C24" s="5" t="s">
        <v>57</v>
      </c>
      <c r="D24" s="5">
        <v>0</v>
      </c>
      <c r="E24" s="5">
        <v>0</v>
      </c>
      <c r="F24" s="5">
        <v>7167</v>
      </c>
      <c r="G24" s="5">
        <v>7120</v>
      </c>
      <c r="H24" s="5">
        <f t="shared" si="0"/>
        <v>0</v>
      </c>
      <c r="I24" s="5">
        <f t="shared" si="1"/>
        <v>47</v>
      </c>
      <c r="J24" s="7">
        <f t="shared" si="2"/>
        <v>0</v>
      </c>
      <c r="K24" s="7">
        <f t="shared" si="5"/>
        <v>47</v>
      </c>
      <c r="L24" s="7">
        <v>210</v>
      </c>
      <c r="M24" s="8">
        <f t="shared" si="3"/>
        <v>257</v>
      </c>
    </row>
    <row r="25" spans="1:13">
      <c r="A25" s="6">
        <v>45392</v>
      </c>
      <c r="B25" s="5" t="s">
        <v>10</v>
      </c>
      <c r="C25" s="5" t="s">
        <v>57</v>
      </c>
      <c r="D25" s="5">
        <v>306</v>
      </c>
      <c r="E25" s="5">
        <v>303</v>
      </c>
      <c r="F25" s="5">
        <v>7228</v>
      </c>
      <c r="G25" s="5">
        <v>7167</v>
      </c>
      <c r="H25" s="5">
        <f t="shared" ref="H25:H38" si="6">D25-E25</f>
        <v>3</v>
      </c>
      <c r="I25" s="5">
        <f t="shared" ref="I25:I38" si="7">F25-G25</f>
        <v>61</v>
      </c>
      <c r="J25" s="7">
        <f t="shared" ref="J25:J38" si="8">H25*3.5</f>
        <v>10.5</v>
      </c>
      <c r="K25" s="7">
        <f t="shared" ref="K25:K38" si="9">I25*1</f>
        <v>61</v>
      </c>
      <c r="L25" s="7">
        <v>210</v>
      </c>
      <c r="M25" s="8">
        <f t="shared" ref="M25:M49" si="10">J25+K25+L25</f>
        <v>281.5</v>
      </c>
    </row>
    <row r="26" spans="1:13">
      <c r="A26" s="6">
        <v>45422</v>
      </c>
      <c r="B26" s="5" t="s">
        <v>10</v>
      </c>
      <c r="C26" s="5" t="s">
        <v>57</v>
      </c>
      <c r="D26" s="5">
        <v>307</v>
      </c>
      <c r="E26" s="5">
        <v>306</v>
      </c>
      <c r="F26" s="5">
        <v>7288</v>
      </c>
      <c r="G26" s="5">
        <v>7228</v>
      </c>
      <c r="H26" s="5">
        <f t="shared" si="6"/>
        <v>1</v>
      </c>
      <c r="I26" s="5">
        <f t="shared" si="7"/>
        <v>60</v>
      </c>
      <c r="J26" s="7">
        <f t="shared" si="8"/>
        <v>3.5</v>
      </c>
      <c r="K26" s="7">
        <f t="shared" si="9"/>
        <v>60</v>
      </c>
      <c r="L26" s="7">
        <v>210</v>
      </c>
      <c r="M26" s="8">
        <f t="shared" si="10"/>
        <v>273.5</v>
      </c>
    </row>
    <row r="27" spans="1:13">
      <c r="A27" s="6">
        <v>45453</v>
      </c>
      <c r="B27" s="5" t="s">
        <v>10</v>
      </c>
      <c r="C27" s="5" t="s">
        <v>57</v>
      </c>
      <c r="D27" s="5">
        <v>308</v>
      </c>
      <c r="E27" s="5">
        <v>307</v>
      </c>
      <c r="F27" s="5">
        <v>7343</v>
      </c>
      <c r="G27" s="5">
        <v>7288</v>
      </c>
      <c r="H27" s="5">
        <f t="shared" si="6"/>
        <v>1</v>
      </c>
      <c r="I27" s="5">
        <f t="shared" si="7"/>
        <v>55</v>
      </c>
      <c r="J27" s="7">
        <f t="shared" si="8"/>
        <v>3.5</v>
      </c>
      <c r="K27" s="7">
        <f t="shared" si="9"/>
        <v>55</v>
      </c>
      <c r="L27" s="7">
        <v>210</v>
      </c>
      <c r="M27" s="8">
        <f t="shared" si="10"/>
        <v>268.5</v>
      </c>
    </row>
    <row r="28" spans="1:13">
      <c r="A28" s="6">
        <v>45483</v>
      </c>
      <c r="B28" s="5" t="s">
        <v>10</v>
      </c>
      <c r="C28" s="5" t="s">
        <v>57</v>
      </c>
      <c r="D28" s="5">
        <v>310</v>
      </c>
      <c r="E28" s="5">
        <v>308</v>
      </c>
      <c r="F28" s="5">
        <v>7501</v>
      </c>
      <c r="G28" s="5">
        <v>7343</v>
      </c>
      <c r="H28" s="5">
        <f t="shared" si="6"/>
        <v>2</v>
      </c>
      <c r="I28" s="5">
        <f t="shared" si="7"/>
        <v>158</v>
      </c>
      <c r="J28" s="7">
        <f t="shared" si="8"/>
        <v>7</v>
      </c>
      <c r="K28" s="7">
        <f t="shared" si="9"/>
        <v>158</v>
      </c>
      <c r="L28" s="7">
        <v>210</v>
      </c>
      <c r="M28" s="8">
        <f t="shared" si="10"/>
        <v>375</v>
      </c>
    </row>
    <row r="29" spans="1:13">
      <c r="A29" s="6">
        <v>45514</v>
      </c>
      <c r="B29" s="5" t="s">
        <v>10</v>
      </c>
      <c r="C29" s="5" t="s">
        <v>57</v>
      </c>
      <c r="D29" s="5">
        <v>0</v>
      </c>
      <c r="E29" s="5">
        <v>0</v>
      </c>
      <c r="F29" s="5">
        <v>7714</v>
      </c>
      <c r="G29" s="5">
        <v>7501</v>
      </c>
      <c r="H29" s="5">
        <f t="shared" si="6"/>
        <v>0</v>
      </c>
      <c r="I29" s="5">
        <f t="shared" si="7"/>
        <v>213</v>
      </c>
      <c r="J29" s="7">
        <f t="shared" si="8"/>
        <v>0</v>
      </c>
      <c r="K29" s="7">
        <f t="shared" si="9"/>
        <v>213</v>
      </c>
      <c r="L29" s="7">
        <v>210</v>
      </c>
      <c r="M29" s="8">
        <f t="shared" si="10"/>
        <v>423</v>
      </c>
    </row>
    <row r="30" spans="1:13">
      <c r="A30" s="6">
        <v>45545</v>
      </c>
      <c r="B30" s="5" t="s">
        <v>10</v>
      </c>
      <c r="C30" s="5" t="s">
        <v>57</v>
      </c>
      <c r="D30" s="5">
        <v>314</v>
      </c>
      <c r="E30" s="5">
        <v>310</v>
      </c>
      <c r="F30" s="5">
        <v>7869</v>
      </c>
      <c r="G30" s="5">
        <v>7714</v>
      </c>
      <c r="H30" s="5">
        <f t="shared" si="6"/>
        <v>4</v>
      </c>
      <c r="I30" s="5">
        <f t="shared" si="7"/>
        <v>155</v>
      </c>
      <c r="J30" s="7">
        <f t="shared" si="8"/>
        <v>14</v>
      </c>
      <c r="K30" s="7">
        <f t="shared" si="9"/>
        <v>155</v>
      </c>
      <c r="L30" s="7">
        <v>210</v>
      </c>
      <c r="M30" s="8">
        <f t="shared" si="10"/>
        <v>379</v>
      </c>
    </row>
    <row r="31" spans="1:13">
      <c r="A31" s="6">
        <v>45575</v>
      </c>
      <c r="B31" s="5" t="s">
        <v>10</v>
      </c>
      <c r="C31" s="5" t="s">
        <v>57</v>
      </c>
      <c r="D31" s="5">
        <v>315</v>
      </c>
      <c r="E31" s="5">
        <v>314</v>
      </c>
      <c r="F31" s="5">
        <v>7965</v>
      </c>
      <c r="G31" s="5">
        <v>7869</v>
      </c>
      <c r="H31" s="5">
        <f t="shared" si="6"/>
        <v>1</v>
      </c>
      <c r="I31" s="5">
        <f t="shared" si="7"/>
        <v>96</v>
      </c>
      <c r="J31" s="7">
        <f t="shared" si="8"/>
        <v>3.5</v>
      </c>
      <c r="K31" s="7">
        <f t="shared" si="9"/>
        <v>96</v>
      </c>
      <c r="L31" s="7">
        <v>210</v>
      </c>
      <c r="M31" s="8">
        <f t="shared" si="10"/>
        <v>309.5</v>
      </c>
    </row>
    <row r="32" spans="1:13">
      <c r="A32" s="6">
        <v>45606</v>
      </c>
      <c r="B32" s="5" t="s">
        <v>10</v>
      </c>
      <c r="C32" s="5" t="s">
        <v>57</v>
      </c>
      <c r="D32" s="5">
        <v>316</v>
      </c>
      <c r="E32" s="5">
        <v>315</v>
      </c>
      <c r="F32" s="5">
        <v>8025</v>
      </c>
      <c r="G32" s="5">
        <v>7965</v>
      </c>
      <c r="H32" s="5">
        <f t="shared" si="6"/>
        <v>1</v>
      </c>
      <c r="I32" s="5">
        <f t="shared" si="7"/>
        <v>60</v>
      </c>
      <c r="J32" s="7">
        <f t="shared" si="8"/>
        <v>3.5</v>
      </c>
      <c r="K32" s="7">
        <f t="shared" si="9"/>
        <v>60</v>
      </c>
      <c r="L32" s="7">
        <v>210</v>
      </c>
      <c r="M32" s="8">
        <f t="shared" si="10"/>
        <v>273.5</v>
      </c>
    </row>
    <row r="33" spans="1:15">
      <c r="A33" s="6">
        <v>45636</v>
      </c>
      <c r="B33" s="5" t="s">
        <v>10</v>
      </c>
      <c r="C33" s="5" t="s">
        <v>57</v>
      </c>
      <c r="D33" s="5">
        <v>317</v>
      </c>
      <c r="E33" s="5">
        <v>316</v>
      </c>
      <c r="F33" s="5">
        <v>8072</v>
      </c>
      <c r="G33" s="5">
        <v>8025</v>
      </c>
      <c r="H33" s="5">
        <f t="shared" si="6"/>
        <v>1</v>
      </c>
      <c r="I33" s="5">
        <f t="shared" si="7"/>
        <v>47</v>
      </c>
      <c r="J33" s="7">
        <f t="shared" si="8"/>
        <v>3.5</v>
      </c>
      <c r="K33" s="7">
        <f t="shared" si="9"/>
        <v>47</v>
      </c>
      <c r="L33" s="7">
        <v>210</v>
      </c>
      <c r="M33" s="8">
        <f t="shared" si="10"/>
        <v>260.5</v>
      </c>
    </row>
    <row r="34" spans="1:15">
      <c r="A34" s="6">
        <v>45672</v>
      </c>
      <c r="B34" s="5" t="s">
        <v>10</v>
      </c>
      <c r="C34" s="5" t="s">
        <v>57</v>
      </c>
      <c r="D34" s="5">
        <v>318</v>
      </c>
      <c r="E34" s="5">
        <v>317</v>
      </c>
      <c r="F34" s="5">
        <v>8122</v>
      </c>
      <c r="G34" s="5">
        <v>8072</v>
      </c>
      <c r="H34" s="5">
        <f t="shared" si="6"/>
        <v>1</v>
      </c>
      <c r="I34" s="5">
        <f t="shared" si="7"/>
        <v>50</v>
      </c>
      <c r="J34" s="7">
        <f t="shared" si="8"/>
        <v>3.5</v>
      </c>
      <c r="K34" s="7">
        <f t="shared" si="9"/>
        <v>50</v>
      </c>
      <c r="L34" s="7">
        <v>220</v>
      </c>
      <c r="M34" s="8">
        <f t="shared" si="10"/>
        <v>273.5</v>
      </c>
      <c r="O34" s="5" t="s">
        <v>58</v>
      </c>
    </row>
    <row r="35" spans="1:15">
      <c r="A35" s="6">
        <v>45703</v>
      </c>
      <c r="B35" s="5" t="s">
        <v>10</v>
      </c>
      <c r="C35" s="5" t="s">
        <v>57</v>
      </c>
      <c r="D35" s="5">
        <v>318</v>
      </c>
      <c r="E35" s="5">
        <v>318</v>
      </c>
      <c r="F35" s="5">
        <v>8155</v>
      </c>
      <c r="G35" s="5">
        <v>8122</v>
      </c>
      <c r="H35" s="5">
        <f t="shared" si="6"/>
        <v>0</v>
      </c>
      <c r="I35" s="5">
        <f t="shared" si="7"/>
        <v>33</v>
      </c>
      <c r="J35" s="7">
        <f t="shared" si="8"/>
        <v>0</v>
      </c>
      <c r="K35" s="7">
        <f t="shared" si="9"/>
        <v>33</v>
      </c>
      <c r="L35" s="7">
        <v>220</v>
      </c>
      <c r="M35" s="8">
        <f t="shared" si="10"/>
        <v>253</v>
      </c>
    </row>
    <row r="36" spans="1:15">
      <c r="A36" s="6">
        <v>45731</v>
      </c>
      <c r="B36" s="5" t="s">
        <v>10</v>
      </c>
      <c r="C36" s="5" t="s">
        <v>57</v>
      </c>
      <c r="D36" s="5">
        <v>319</v>
      </c>
      <c r="E36" s="5">
        <v>318</v>
      </c>
      <c r="F36" s="5">
        <v>8196</v>
      </c>
      <c r="G36" s="5">
        <v>8155</v>
      </c>
      <c r="H36" s="5">
        <f t="shared" si="6"/>
        <v>1</v>
      </c>
      <c r="I36" s="5">
        <f t="shared" si="7"/>
        <v>41</v>
      </c>
      <c r="J36" s="7">
        <f t="shared" si="8"/>
        <v>3.5</v>
      </c>
      <c r="K36" s="7">
        <f t="shared" si="9"/>
        <v>41</v>
      </c>
      <c r="L36" s="7">
        <v>220</v>
      </c>
      <c r="M36" s="8">
        <f t="shared" si="10"/>
        <v>264.5</v>
      </c>
    </row>
    <row r="37" spans="1:15">
      <c r="A37" s="6">
        <v>45762</v>
      </c>
      <c r="B37" s="5" t="s">
        <v>10</v>
      </c>
      <c r="C37" s="5" t="s">
        <v>57</v>
      </c>
      <c r="D37" s="5">
        <v>320</v>
      </c>
      <c r="E37" s="5">
        <v>319</v>
      </c>
      <c r="F37" s="5">
        <v>8230</v>
      </c>
      <c r="G37" s="5">
        <v>8196</v>
      </c>
      <c r="H37" s="5">
        <f t="shared" si="6"/>
        <v>1</v>
      </c>
      <c r="I37" s="5">
        <f t="shared" si="7"/>
        <v>34</v>
      </c>
      <c r="J37" s="7">
        <f t="shared" si="8"/>
        <v>3.5</v>
      </c>
      <c r="K37" s="7">
        <f t="shared" si="9"/>
        <v>34</v>
      </c>
      <c r="L37" s="7">
        <v>220</v>
      </c>
      <c r="M37" s="8">
        <f t="shared" si="10"/>
        <v>257.5</v>
      </c>
    </row>
    <row r="38" spans="1:15" ht="20">
      <c r="A38" s="6">
        <v>45792</v>
      </c>
      <c r="B38" s="5" t="s">
        <v>10</v>
      </c>
      <c r="C38" s="5" t="s">
        <v>57</v>
      </c>
      <c r="D38" s="5">
        <v>321</v>
      </c>
      <c r="E38" s="5">
        <v>320</v>
      </c>
      <c r="F38" s="1">
        <v>8257</v>
      </c>
      <c r="G38" s="5">
        <v>8230</v>
      </c>
      <c r="H38" s="5">
        <f t="shared" si="6"/>
        <v>1</v>
      </c>
      <c r="I38" s="5">
        <f t="shared" si="7"/>
        <v>27</v>
      </c>
      <c r="J38" s="7">
        <f t="shared" si="8"/>
        <v>3.5</v>
      </c>
      <c r="K38" s="7">
        <f t="shared" si="9"/>
        <v>27</v>
      </c>
      <c r="L38" s="7">
        <v>220</v>
      </c>
      <c r="M38" s="8">
        <f t="shared" si="10"/>
        <v>250.5</v>
      </c>
    </row>
    <row r="39" spans="1:15">
      <c r="A39" s="6">
        <v>45792</v>
      </c>
      <c r="B39" s="5" t="s">
        <v>10</v>
      </c>
      <c r="C39" s="5" t="s">
        <v>57</v>
      </c>
      <c r="D39" s="5">
        <v>0</v>
      </c>
      <c r="E39" s="5">
        <v>0</v>
      </c>
      <c r="F39" s="5">
        <v>9</v>
      </c>
      <c r="G39" s="5">
        <v>0</v>
      </c>
      <c r="H39" s="5">
        <f t="shared" ref="H39:H49" si="11">D39-E39</f>
        <v>0</v>
      </c>
      <c r="I39" s="5">
        <f t="shared" ref="I39:I49" si="12">F39-G39</f>
        <v>9</v>
      </c>
      <c r="J39" s="7">
        <f t="shared" ref="J39:J49" si="13">H39*3.5</f>
        <v>0</v>
      </c>
      <c r="K39" s="7">
        <f t="shared" ref="K39:K49" si="14">I39*1</f>
        <v>9</v>
      </c>
      <c r="L39" s="7">
        <v>0</v>
      </c>
      <c r="M39" s="8">
        <f t="shared" si="10"/>
        <v>9</v>
      </c>
    </row>
    <row r="40" spans="1:15">
      <c r="A40" s="6">
        <v>45823</v>
      </c>
      <c r="B40" s="5" t="s">
        <v>10</v>
      </c>
      <c r="C40" s="5" t="s">
        <v>57</v>
      </c>
      <c r="D40" s="5">
        <v>0</v>
      </c>
      <c r="E40" s="5">
        <v>0</v>
      </c>
      <c r="F40" s="5">
        <v>93</v>
      </c>
      <c r="G40" s="5">
        <v>9</v>
      </c>
      <c r="H40" s="5">
        <f t="shared" si="11"/>
        <v>0</v>
      </c>
      <c r="I40" s="5">
        <f t="shared" si="12"/>
        <v>84</v>
      </c>
      <c r="J40" s="7">
        <f t="shared" si="13"/>
        <v>0</v>
      </c>
      <c r="K40" s="7">
        <f t="shared" si="14"/>
        <v>84</v>
      </c>
      <c r="L40" s="7">
        <v>220</v>
      </c>
      <c r="M40" s="8">
        <f t="shared" si="10"/>
        <v>304</v>
      </c>
    </row>
    <row r="41" spans="1:15">
      <c r="A41" s="6">
        <v>45853</v>
      </c>
      <c r="B41" s="5" t="s">
        <v>77</v>
      </c>
      <c r="C41" s="5" t="s">
        <v>57</v>
      </c>
      <c r="D41" s="5">
        <v>325</v>
      </c>
      <c r="E41" s="5">
        <v>321</v>
      </c>
      <c r="F41" s="5">
        <v>254</v>
      </c>
      <c r="G41" s="5">
        <v>93</v>
      </c>
      <c r="H41" s="5">
        <f t="shared" si="11"/>
        <v>4</v>
      </c>
      <c r="I41" s="5">
        <f t="shared" si="12"/>
        <v>161</v>
      </c>
      <c r="J41" s="7">
        <f t="shared" si="13"/>
        <v>14</v>
      </c>
      <c r="K41" s="7">
        <f t="shared" si="14"/>
        <v>161</v>
      </c>
      <c r="L41" s="7">
        <v>220</v>
      </c>
      <c r="M41" s="8">
        <f t="shared" si="10"/>
        <v>395</v>
      </c>
    </row>
    <row r="42" spans="1:15">
      <c r="A42" s="6">
        <v>45884</v>
      </c>
      <c r="B42" s="5" t="s">
        <v>77</v>
      </c>
      <c r="C42" s="5" t="s">
        <v>57</v>
      </c>
      <c r="D42" s="5">
        <v>328</v>
      </c>
      <c r="E42" s="5">
        <v>325</v>
      </c>
      <c r="F42" s="5">
        <v>425</v>
      </c>
      <c r="G42" s="5">
        <v>254</v>
      </c>
      <c r="H42" s="5">
        <f t="shared" si="11"/>
        <v>3</v>
      </c>
      <c r="I42" s="5">
        <f t="shared" si="12"/>
        <v>171</v>
      </c>
      <c r="J42" s="7">
        <f t="shared" si="13"/>
        <v>10.5</v>
      </c>
      <c r="K42" s="7">
        <f t="shared" si="14"/>
        <v>171</v>
      </c>
      <c r="L42" s="7">
        <v>220</v>
      </c>
      <c r="M42" s="8">
        <f t="shared" si="10"/>
        <v>401.5</v>
      </c>
    </row>
    <row r="43" spans="1:15">
      <c r="A43" s="6">
        <v>45915</v>
      </c>
      <c r="B43" s="5" t="s">
        <v>77</v>
      </c>
      <c r="C43" s="5" t="s">
        <v>57</v>
      </c>
      <c r="D43" s="5">
        <v>332</v>
      </c>
      <c r="E43" s="5">
        <v>328</v>
      </c>
      <c r="F43" s="5">
        <v>612</v>
      </c>
      <c r="G43" s="5">
        <v>425</v>
      </c>
      <c r="H43" s="5">
        <f t="shared" si="11"/>
        <v>4</v>
      </c>
      <c r="I43" s="5">
        <f t="shared" si="12"/>
        <v>187</v>
      </c>
      <c r="J43" s="7">
        <f t="shared" si="13"/>
        <v>14</v>
      </c>
      <c r="K43" s="7">
        <f t="shared" si="14"/>
        <v>187</v>
      </c>
      <c r="L43" s="7">
        <v>220</v>
      </c>
      <c r="M43" s="8">
        <f t="shared" si="10"/>
        <v>421</v>
      </c>
    </row>
    <row r="44" spans="1:15">
      <c r="A44" s="6">
        <v>45945</v>
      </c>
      <c r="B44" s="5" t="s">
        <v>77</v>
      </c>
      <c r="C44" s="5" t="s">
        <v>283</v>
      </c>
      <c r="D44" s="5">
        <v>336</v>
      </c>
      <c r="E44" s="5">
        <v>332</v>
      </c>
      <c r="F44" s="5">
        <v>770</v>
      </c>
      <c r="G44" s="5">
        <v>612</v>
      </c>
      <c r="H44" s="5">
        <f t="shared" si="11"/>
        <v>4</v>
      </c>
      <c r="I44" s="5">
        <f t="shared" si="12"/>
        <v>158</v>
      </c>
      <c r="J44" s="7">
        <f t="shared" si="13"/>
        <v>14</v>
      </c>
      <c r="K44" s="7">
        <f t="shared" si="14"/>
        <v>158</v>
      </c>
      <c r="L44" s="7">
        <v>220</v>
      </c>
      <c r="M44" s="8">
        <f t="shared" si="10"/>
        <v>392</v>
      </c>
    </row>
    <row r="45" spans="1:15">
      <c r="A45" s="6">
        <v>45976</v>
      </c>
      <c r="B45" s="5" t="s">
        <v>77</v>
      </c>
      <c r="C45" s="5" t="s">
        <v>283</v>
      </c>
      <c r="D45" s="5">
        <v>340</v>
      </c>
      <c r="E45" s="5">
        <v>336</v>
      </c>
      <c r="F45" s="5">
        <v>829</v>
      </c>
      <c r="G45" s="5">
        <v>770</v>
      </c>
      <c r="H45" s="5">
        <f t="shared" si="11"/>
        <v>4</v>
      </c>
      <c r="I45" s="5">
        <f t="shared" si="12"/>
        <v>59</v>
      </c>
      <c r="J45" s="7">
        <f t="shared" si="13"/>
        <v>14</v>
      </c>
      <c r="K45" s="7">
        <f t="shared" si="14"/>
        <v>59</v>
      </c>
      <c r="L45" s="7">
        <v>220</v>
      </c>
      <c r="M45" s="8">
        <f t="shared" si="10"/>
        <v>293</v>
      </c>
    </row>
    <row r="46" spans="1:15">
      <c r="A46" s="6">
        <v>46006</v>
      </c>
      <c r="B46" s="5" t="s">
        <v>77</v>
      </c>
      <c r="C46" s="5" t="s">
        <v>283</v>
      </c>
      <c r="D46" s="5">
        <v>344</v>
      </c>
      <c r="E46" s="5">
        <v>340</v>
      </c>
      <c r="F46" s="5">
        <v>900</v>
      </c>
      <c r="G46" s="5">
        <v>829</v>
      </c>
      <c r="H46" s="5">
        <f t="shared" si="11"/>
        <v>4</v>
      </c>
      <c r="I46" s="5">
        <f t="shared" si="12"/>
        <v>71</v>
      </c>
      <c r="J46" s="7">
        <f t="shared" si="13"/>
        <v>14</v>
      </c>
      <c r="K46" s="7">
        <f t="shared" si="14"/>
        <v>71</v>
      </c>
      <c r="L46" s="7">
        <v>220</v>
      </c>
      <c r="M46" s="8">
        <f t="shared" si="10"/>
        <v>305</v>
      </c>
    </row>
    <row r="47" spans="1:15">
      <c r="A47" s="6">
        <v>46037</v>
      </c>
      <c r="B47" s="5" t="s">
        <v>77</v>
      </c>
      <c r="C47" s="5" t="s">
        <v>283</v>
      </c>
      <c r="D47" s="5">
        <v>347</v>
      </c>
      <c r="E47" s="5">
        <v>344</v>
      </c>
      <c r="F47" s="5">
        <v>984</v>
      </c>
      <c r="G47" s="5">
        <v>900</v>
      </c>
      <c r="H47" s="5">
        <f t="shared" si="11"/>
        <v>3</v>
      </c>
      <c r="I47" s="5">
        <f t="shared" si="12"/>
        <v>84</v>
      </c>
      <c r="J47" s="7">
        <f t="shared" si="13"/>
        <v>10.5</v>
      </c>
      <c r="K47" s="7">
        <f t="shared" si="14"/>
        <v>84</v>
      </c>
      <c r="L47" s="7">
        <v>220</v>
      </c>
      <c r="M47" s="8">
        <f t="shared" si="10"/>
        <v>314.5</v>
      </c>
    </row>
    <row r="48" spans="1:15">
      <c r="A48" s="6">
        <v>46068</v>
      </c>
      <c r="B48" s="5" t="s">
        <v>77</v>
      </c>
      <c r="C48" s="5" t="s">
        <v>283</v>
      </c>
      <c r="D48" s="5">
        <v>0</v>
      </c>
      <c r="E48" s="5">
        <v>0</v>
      </c>
      <c r="F48" s="5">
        <v>0</v>
      </c>
      <c r="G48" s="5">
        <v>0</v>
      </c>
      <c r="H48" s="5">
        <f t="shared" si="11"/>
        <v>0</v>
      </c>
      <c r="I48" s="5">
        <f t="shared" si="12"/>
        <v>0</v>
      </c>
      <c r="J48" s="7">
        <f t="shared" si="13"/>
        <v>0</v>
      </c>
      <c r="K48" s="7">
        <f t="shared" si="14"/>
        <v>0</v>
      </c>
      <c r="L48" s="7">
        <v>220</v>
      </c>
      <c r="M48" s="8">
        <f t="shared" si="10"/>
        <v>220</v>
      </c>
    </row>
    <row r="49" spans="1:13">
      <c r="A49" s="6">
        <v>46096</v>
      </c>
      <c r="B49" s="5" t="s">
        <v>327</v>
      </c>
      <c r="C49" s="5" t="s">
        <v>328</v>
      </c>
      <c r="D49" s="5">
        <v>0</v>
      </c>
      <c r="E49" s="5">
        <v>0</v>
      </c>
      <c r="F49" s="5">
        <v>1046</v>
      </c>
      <c r="G49" s="5">
        <v>984</v>
      </c>
      <c r="H49" s="5">
        <f t="shared" si="11"/>
        <v>0</v>
      </c>
      <c r="I49" s="5">
        <f t="shared" si="12"/>
        <v>62</v>
      </c>
      <c r="J49" s="7">
        <f t="shared" si="13"/>
        <v>0</v>
      </c>
      <c r="K49" s="7">
        <f t="shared" si="14"/>
        <v>62</v>
      </c>
      <c r="L49" s="7">
        <v>220</v>
      </c>
      <c r="M49" s="8">
        <f t="shared" si="10"/>
        <v>282</v>
      </c>
    </row>
    <row r="50" spans="1:13">
      <c r="A50" s="3" t="s">
        <v>108</v>
      </c>
      <c r="B50" s="4" t="s">
        <v>107</v>
      </c>
      <c r="C50" s="4" t="s">
        <v>107</v>
      </c>
      <c r="D50" s="4" t="s">
        <v>107</v>
      </c>
      <c r="E50" s="4" t="s">
        <v>107</v>
      </c>
      <c r="F50" s="4" t="s">
        <v>107</v>
      </c>
      <c r="G50" s="4" t="s">
        <v>107</v>
      </c>
      <c r="H50" s="5">
        <f>SUBTOTAL(9,H3:H49)</f>
        <v>79</v>
      </c>
      <c r="I50" s="5">
        <f>SUBTOTAL(9,I3:I49)</f>
        <v>3921</v>
      </c>
      <c r="J50" s="7">
        <f>SUBTOTAL(9,J3:J49)</f>
        <v>276.5</v>
      </c>
      <c r="K50" s="7">
        <f>SUBTOTAL(9,K3:K49)</f>
        <v>3774.2999999999997</v>
      </c>
      <c r="L50" s="7">
        <f>SUBTOTAL(9,L3:L49)</f>
        <v>9810</v>
      </c>
      <c r="M50" s="10">
        <f t="shared" ref="M50" si="15">SUBTOTAL(9,M3:M41)</f>
        <v>11231.800000000001</v>
      </c>
    </row>
  </sheetData>
  <mergeCells count="10">
    <mergeCell ref="L1:L2"/>
    <mergeCell ref="M1:M2"/>
    <mergeCell ref="D1:E1"/>
    <mergeCell ref="F1:G1"/>
    <mergeCell ref="H1:I1"/>
    <mergeCell ref="A1:A2"/>
    <mergeCell ref="B1:B2"/>
    <mergeCell ref="C1:C2"/>
    <mergeCell ref="J1:J2"/>
    <mergeCell ref="K1:K2"/>
  </mergeCells>
  <phoneticPr fontId="1" type="noConversion"/>
  <conditionalFormatting sqref="A1:XFD1048576">
    <cfRule type="cellIs" dxfId="9" priority="1" operator="equal">
      <formula>0</formula>
    </cfRule>
  </conditionalFormatting>
  <conditionalFormatting sqref="N3:N49">
    <cfRule type="cellIs" dxfId="8" priority="2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A1:O50"/>
  <sheetViews>
    <sheetView zoomScale="120" zoomScaleNormal="120" workbookViewId="0">
      <pane ySplit="2" topLeftCell="A36" activePane="bottomLeft" state="frozen"/>
      <selection activeCell="F38" sqref="F38"/>
      <selection pane="bottomLeft" activeCell="I54" sqref="I54"/>
    </sheetView>
  </sheetViews>
  <sheetFormatPr baseColWidth="10" defaultColWidth="10.85546875" defaultRowHeight="18"/>
  <cols>
    <col min="1" max="1" width="16.855468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1" width="9.85546875" style="7" bestFit="1" customWidth="1"/>
    <col min="12" max="12" width="10.7109375" style="7" bestFit="1" customWidth="1"/>
    <col min="13" max="13" width="13.42578125" style="8" bestFit="1" customWidth="1"/>
    <col min="14" max="14" width="9.42578125" style="5" bestFit="1" customWidth="1"/>
    <col min="15" max="15" width="50.140625" style="5" bestFit="1" customWidth="1"/>
    <col min="16" max="16384" width="10.85546875" style="5"/>
  </cols>
  <sheetData>
    <row r="1" spans="1:14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</row>
    <row r="2" spans="1:14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200</v>
      </c>
    </row>
    <row r="3" spans="1:14">
      <c r="A3" s="6">
        <v>44722</v>
      </c>
      <c r="B3" s="5" t="s">
        <v>11</v>
      </c>
      <c r="C3" s="5" t="s">
        <v>48</v>
      </c>
      <c r="D3" s="5">
        <v>463</v>
      </c>
      <c r="E3" s="5">
        <v>461</v>
      </c>
      <c r="F3" s="5">
        <v>3126</v>
      </c>
      <c r="G3" s="5">
        <v>3080</v>
      </c>
      <c r="H3" s="5">
        <f t="shared" ref="H3:H24" si="0">D3-E3</f>
        <v>2</v>
      </c>
      <c r="I3" s="5">
        <f t="shared" ref="I3:I24" si="1">F3-G3</f>
        <v>46</v>
      </c>
      <c r="J3" s="7">
        <f t="shared" ref="J3:J24" si="2">H3*3.5</f>
        <v>7</v>
      </c>
      <c r="K3" s="7">
        <f>I3*0.9</f>
        <v>41.4</v>
      </c>
      <c r="L3" s="7">
        <v>230</v>
      </c>
      <c r="M3" s="8">
        <f t="shared" ref="M3:M24" si="3">J3+K3+L3</f>
        <v>278.39999999999998</v>
      </c>
    </row>
    <row r="4" spans="1:14">
      <c r="A4" s="6">
        <v>44752</v>
      </c>
      <c r="B4" s="5" t="s">
        <v>11</v>
      </c>
      <c r="C4" s="5" t="s">
        <v>48</v>
      </c>
      <c r="D4" s="5">
        <v>465</v>
      </c>
      <c r="E4" s="5">
        <v>463</v>
      </c>
      <c r="F4" s="5">
        <v>3175</v>
      </c>
      <c r="G4" s="5">
        <v>3126</v>
      </c>
      <c r="H4" s="5">
        <f t="shared" si="0"/>
        <v>2</v>
      </c>
      <c r="I4" s="5">
        <f t="shared" si="1"/>
        <v>49</v>
      </c>
      <c r="J4" s="7">
        <f t="shared" si="2"/>
        <v>7</v>
      </c>
      <c r="K4" s="7">
        <f t="shared" ref="K4:K18" si="4">I4*0.9</f>
        <v>44.1</v>
      </c>
      <c r="L4" s="7">
        <v>230</v>
      </c>
      <c r="M4" s="8">
        <f t="shared" si="3"/>
        <v>281.10000000000002</v>
      </c>
    </row>
    <row r="5" spans="1:14">
      <c r="A5" s="6">
        <v>44783</v>
      </c>
      <c r="B5" s="5" t="s">
        <v>11</v>
      </c>
      <c r="C5" s="5" t="s">
        <v>48</v>
      </c>
      <c r="D5" s="5">
        <v>467</v>
      </c>
      <c r="E5" s="5">
        <v>465</v>
      </c>
      <c r="F5" s="5">
        <v>3200</v>
      </c>
      <c r="G5" s="5">
        <v>3175</v>
      </c>
      <c r="H5" s="5">
        <f t="shared" si="0"/>
        <v>2</v>
      </c>
      <c r="I5" s="5">
        <f t="shared" si="1"/>
        <v>25</v>
      </c>
      <c r="J5" s="7">
        <f t="shared" si="2"/>
        <v>7</v>
      </c>
      <c r="K5" s="7">
        <f t="shared" si="4"/>
        <v>22.5</v>
      </c>
      <c r="L5" s="7">
        <v>230</v>
      </c>
      <c r="M5" s="8">
        <f t="shared" si="3"/>
        <v>259.5</v>
      </c>
    </row>
    <row r="6" spans="1:14">
      <c r="A6" s="6">
        <v>44814</v>
      </c>
      <c r="B6" s="5" t="s">
        <v>11</v>
      </c>
      <c r="C6" s="5" t="s">
        <v>48</v>
      </c>
      <c r="D6" s="5">
        <v>0</v>
      </c>
      <c r="E6" s="5">
        <v>0</v>
      </c>
      <c r="F6" s="5">
        <v>3234</v>
      </c>
      <c r="G6" s="5">
        <v>3200</v>
      </c>
      <c r="H6" s="5">
        <f t="shared" si="0"/>
        <v>0</v>
      </c>
      <c r="I6" s="5">
        <f t="shared" si="1"/>
        <v>34</v>
      </c>
      <c r="J6" s="7">
        <f t="shared" si="2"/>
        <v>0</v>
      </c>
      <c r="K6" s="7">
        <f t="shared" si="4"/>
        <v>30.6</v>
      </c>
      <c r="L6" s="7">
        <v>230</v>
      </c>
      <c r="M6" s="8">
        <f t="shared" si="3"/>
        <v>260.60000000000002</v>
      </c>
    </row>
    <row r="7" spans="1:14">
      <c r="A7" s="6">
        <v>44844</v>
      </c>
      <c r="B7" s="5" t="s">
        <v>11</v>
      </c>
      <c r="C7" s="5" t="s">
        <v>48</v>
      </c>
      <c r="D7" s="5">
        <v>469</v>
      </c>
      <c r="E7" s="5">
        <v>467</v>
      </c>
      <c r="F7" s="5">
        <v>3277</v>
      </c>
      <c r="G7" s="5">
        <v>3234</v>
      </c>
      <c r="H7" s="5">
        <f t="shared" si="0"/>
        <v>2</v>
      </c>
      <c r="I7" s="5">
        <f t="shared" si="1"/>
        <v>43</v>
      </c>
      <c r="J7" s="7">
        <f t="shared" si="2"/>
        <v>7</v>
      </c>
      <c r="K7" s="7">
        <f t="shared" si="4"/>
        <v>38.700000000000003</v>
      </c>
      <c r="L7" s="7">
        <v>230</v>
      </c>
      <c r="M7" s="8">
        <f t="shared" si="3"/>
        <v>275.7</v>
      </c>
    </row>
    <row r="8" spans="1:14">
      <c r="A8" s="6">
        <v>44875</v>
      </c>
      <c r="B8" s="5" t="s">
        <v>11</v>
      </c>
      <c r="C8" s="5" t="s">
        <v>48</v>
      </c>
      <c r="D8" s="5">
        <v>471</v>
      </c>
      <c r="E8" s="5">
        <v>469</v>
      </c>
      <c r="F8" s="5">
        <v>3337</v>
      </c>
      <c r="G8" s="5">
        <v>3277</v>
      </c>
      <c r="H8" s="5">
        <f t="shared" si="0"/>
        <v>2</v>
      </c>
      <c r="I8" s="5">
        <f t="shared" si="1"/>
        <v>60</v>
      </c>
      <c r="J8" s="7">
        <f t="shared" si="2"/>
        <v>7</v>
      </c>
      <c r="K8" s="7">
        <f t="shared" si="4"/>
        <v>54</v>
      </c>
      <c r="L8" s="7">
        <v>230</v>
      </c>
      <c r="M8" s="8">
        <f t="shared" si="3"/>
        <v>291</v>
      </c>
    </row>
    <row r="9" spans="1:14">
      <c r="A9" s="6">
        <v>44905</v>
      </c>
      <c r="B9" s="5" t="s">
        <v>11</v>
      </c>
      <c r="C9" s="5" t="s">
        <v>48</v>
      </c>
      <c r="D9" s="5">
        <v>0</v>
      </c>
      <c r="E9" s="5">
        <v>0</v>
      </c>
      <c r="F9" s="5">
        <v>3377</v>
      </c>
      <c r="G9" s="5">
        <v>3337</v>
      </c>
      <c r="H9" s="5">
        <f t="shared" si="0"/>
        <v>0</v>
      </c>
      <c r="I9" s="5">
        <f t="shared" si="1"/>
        <v>40</v>
      </c>
      <c r="J9" s="7">
        <f t="shared" si="2"/>
        <v>0</v>
      </c>
      <c r="K9" s="7">
        <f t="shared" si="4"/>
        <v>36</v>
      </c>
      <c r="L9" s="7">
        <v>230</v>
      </c>
      <c r="M9" s="8">
        <f t="shared" si="3"/>
        <v>266</v>
      </c>
    </row>
    <row r="10" spans="1:14">
      <c r="A10" s="6">
        <v>44936</v>
      </c>
      <c r="B10" s="5" t="s">
        <v>11</v>
      </c>
      <c r="C10" s="5" t="s">
        <v>48</v>
      </c>
      <c r="D10" s="5">
        <v>473</v>
      </c>
      <c r="E10" s="5">
        <v>471</v>
      </c>
      <c r="F10" s="5">
        <v>3430</v>
      </c>
      <c r="G10" s="5">
        <v>3377</v>
      </c>
      <c r="H10" s="5">
        <f t="shared" si="0"/>
        <v>2</v>
      </c>
      <c r="I10" s="5">
        <f t="shared" si="1"/>
        <v>53</v>
      </c>
      <c r="J10" s="7">
        <f t="shared" si="2"/>
        <v>7</v>
      </c>
      <c r="K10" s="7">
        <f t="shared" si="4"/>
        <v>47.7</v>
      </c>
      <c r="L10" s="7">
        <v>230</v>
      </c>
      <c r="M10" s="8">
        <f t="shared" si="3"/>
        <v>284.7</v>
      </c>
    </row>
    <row r="11" spans="1:14">
      <c r="A11" s="6">
        <v>44967</v>
      </c>
      <c r="B11" s="5" t="s">
        <v>11</v>
      </c>
      <c r="C11" s="5" t="s">
        <v>48</v>
      </c>
      <c r="D11" s="5">
        <v>0</v>
      </c>
      <c r="E11" s="5">
        <v>0</v>
      </c>
      <c r="F11" s="5">
        <v>3456</v>
      </c>
      <c r="G11" s="5">
        <v>3430</v>
      </c>
      <c r="H11" s="5">
        <f t="shared" si="0"/>
        <v>0</v>
      </c>
      <c r="I11" s="5">
        <f t="shared" si="1"/>
        <v>26</v>
      </c>
      <c r="J11" s="7">
        <f t="shared" si="2"/>
        <v>0</v>
      </c>
      <c r="K11" s="7">
        <f t="shared" si="4"/>
        <v>23.400000000000002</v>
      </c>
      <c r="L11" s="7">
        <v>230</v>
      </c>
      <c r="M11" s="8">
        <f t="shared" si="3"/>
        <v>253.4</v>
      </c>
    </row>
    <row r="12" spans="1:14">
      <c r="A12" s="6">
        <v>44995</v>
      </c>
      <c r="B12" s="5" t="s">
        <v>11</v>
      </c>
      <c r="C12" s="5" t="s">
        <v>48</v>
      </c>
      <c r="D12" s="5">
        <v>475</v>
      </c>
      <c r="E12" s="5">
        <v>473</v>
      </c>
      <c r="F12" s="5">
        <v>3502</v>
      </c>
      <c r="G12" s="5">
        <v>3456</v>
      </c>
      <c r="H12" s="5">
        <f t="shared" si="0"/>
        <v>2</v>
      </c>
      <c r="I12" s="5">
        <f t="shared" si="1"/>
        <v>46</v>
      </c>
      <c r="J12" s="7">
        <f t="shared" si="2"/>
        <v>7</v>
      </c>
      <c r="K12" s="7">
        <f t="shared" si="4"/>
        <v>41.4</v>
      </c>
      <c r="L12" s="7">
        <v>230</v>
      </c>
      <c r="M12" s="8">
        <f t="shared" si="3"/>
        <v>278.39999999999998</v>
      </c>
    </row>
    <row r="13" spans="1:14">
      <c r="A13" s="6">
        <v>45026</v>
      </c>
      <c r="B13" s="5" t="s">
        <v>11</v>
      </c>
      <c r="C13" s="5" t="s">
        <v>48</v>
      </c>
      <c r="D13" s="5">
        <v>477</v>
      </c>
      <c r="E13" s="5">
        <v>475</v>
      </c>
      <c r="F13" s="5">
        <v>3544</v>
      </c>
      <c r="G13" s="5">
        <v>3502</v>
      </c>
      <c r="H13" s="5">
        <f t="shared" si="0"/>
        <v>2</v>
      </c>
      <c r="I13" s="5">
        <f t="shared" si="1"/>
        <v>42</v>
      </c>
      <c r="J13" s="7">
        <f t="shared" si="2"/>
        <v>7</v>
      </c>
      <c r="K13" s="7">
        <f t="shared" si="4"/>
        <v>37.800000000000004</v>
      </c>
      <c r="L13" s="7">
        <v>230</v>
      </c>
      <c r="M13" s="8">
        <f t="shared" si="3"/>
        <v>274.8</v>
      </c>
    </row>
    <row r="14" spans="1:14">
      <c r="A14" s="6">
        <v>45056</v>
      </c>
      <c r="B14" s="5" t="s">
        <v>11</v>
      </c>
      <c r="C14" s="5" t="s">
        <v>48</v>
      </c>
      <c r="D14" s="5">
        <v>479</v>
      </c>
      <c r="E14" s="5">
        <v>477</v>
      </c>
      <c r="F14" s="5">
        <v>3587</v>
      </c>
      <c r="G14" s="5">
        <v>3544</v>
      </c>
      <c r="H14" s="5">
        <f t="shared" si="0"/>
        <v>2</v>
      </c>
      <c r="I14" s="5">
        <f t="shared" si="1"/>
        <v>43</v>
      </c>
      <c r="J14" s="7">
        <f t="shared" si="2"/>
        <v>7</v>
      </c>
      <c r="K14" s="7">
        <f t="shared" si="4"/>
        <v>38.700000000000003</v>
      </c>
      <c r="L14" s="7">
        <v>230</v>
      </c>
      <c r="M14" s="8">
        <f t="shared" si="3"/>
        <v>275.7</v>
      </c>
    </row>
    <row r="15" spans="1:14">
      <c r="A15" s="6">
        <v>45087</v>
      </c>
      <c r="B15" s="5" t="s">
        <v>11</v>
      </c>
      <c r="C15" s="5" t="s">
        <v>48</v>
      </c>
      <c r="D15" s="5">
        <v>481</v>
      </c>
      <c r="E15" s="5">
        <v>479</v>
      </c>
      <c r="F15" s="5">
        <v>3637</v>
      </c>
      <c r="G15" s="5">
        <v>3587</v>
      </c>
      <c r="H15" s="5">
        <f t="shared" si="0"/>
        <v>2</v>
      </c>
      <c r="I15" s="5">
        <f t="shared" si="1"/>
        <v>50</v>
      </c>
      <c r="J15" s="7">
        <f t="shared" si="2"/>
        <v>7</v>
      </c>
      <c r="K15" s="7">
        <f t="shared" si="4"/>
        <v>45</v>
      </c>
      <c r="L15" s="7">
        <v>230</v>
      </c>
      <c r="M15" s="8">
        <f t="shared" si="3"/>
        <v>282</v>
      </c>
    </row>
    <row r="16" spans="1:14">
      <c r="A16" s="6">
        <v>45117</v>
      </c>
      <c r="B16" s="5" t="s">
        <v>11</v>
      </c>
      <c r="C16" s="5" t="s">
        <v>48</v>
      </c>
      <c r="D16" s="5">
        <v>484</v>
      </c>
      <c r="E16" s="5">
        <v>481</v>
      </c>
      <c r="F16" s="5">
        <v>3683</v>
      </c>
      <c r="G16" s="5">
        <v>3637</v>
      </c>
      <c r="H16" s="5">
        <f t="shared" si="0"/>
        <v>3</v>
      </c>
      <c r="I16" s="5">
        <f t="shared" si="1"/>
        <v>46</v>
      </c>
      <c r="J16" s="7">
        <f t="shared" si="2"/>
        <v>10.5</v>
      </c>
      <c r="K16" s="7">
        <f t="shared" si="4"/>
        <v>41.4</v>
      </c>
      <c r="L16" s="7">
        <v>230</v>
      </c>
      <c r="M16" s="8">
        <f t="shared" si="3"/>
        <v>281.89999999999998</v>
      </c>
    </row>
    <row r="17" spans="1:13">
      <c r="A17" s="6">
        <v>45148</v>
      </c>
      <c r="B17" s="5" t="s">
        <v>11</v>
      </c>
      <c r="C17" s="5" t="s">
        <v>48</v>
      </c>
      <c r="D17" s="5">
        <v>486</v>
      </c>
      <c r="E17" s="5">
        <v>484</v>
      </c>
      <c r="F17" s="5">
        <v>3724</v>
      </c>
      <c r="G17" s="5">
        <v>3683</v>
      </c>
      <c r="H17" s="5">
        <f t="shared" si="0"/>
        <v>2</v>
      </c>
      <c r="I17" s="5">
        <f t="shared" si="1"/>
        <v>41</v>
      </c>
      <c r="J17" s="7">
        <f t="shared" si="2"/>
        <v>7</v>
      </c>
      <c r="K17" s="7">
        <f t="shared" si="4"/>
        <v>36.9</v>
      </c>
      <c r="L17" s="7">
        <v>230</v>
      </c>
      <c r="M17" s="8">
        <f t="shared" si="3"/>
        <v>273.89999999999998</v>
      </c>
    </row>
    <row r="18" spans="1:13">
      <c r="A18" s="6">
        <v>45179</v>
      </c>
      <c r="B18" s="5" t="s">
        <v>11</v>
      </c>
      <c r="C18" s="5" t="s">
        <v>48</v>
      </c>
      <c r="D18" s="5">
        <v>490</v>
      </c>
      <c r="E18" s="5">
        <v>486</v>
      </c>
      <c r="F18" s="5">
        <v>3772</v>
      </c>
      <c r="G18" s="5">
        <v>3724</v>
      </c>
      <c r="H18" s="5">
        <f t="shared" si="0"/>
        <v>4</v>
      </c>
      <c r="I18" s="5">
        <f t="shared" si="1"/>
        <v>48</v>
      </c>
      <c r="J18" s="7">
        <f t="shared" si="2"/>
        <v>14</v>
      </c>
      <c r="K18" s="7">
        <f t="shared" si="4"/>
        <v>43.2</v>
      </c>
      <c r="L18" s="7">
        <v>230</v>
      </c>
      <c r="M18" s="8">
        <f t="shared" si="3"/>
        <v>287.2</v>
      </c>
    </row>
    <row r="19" spans="1:13">
      <c r="A19" s="6">
        <v>45209</v>
      </c>
      <c r="B19" s="5" t="s">
        <v>11</v>
      </c>
      <c r="C19" s="5" t="s">
        <v>48</v>
      </c>
      <c r="D19" s="5">
        <v>492</v>
      </c>
      <c r="E19" s="5">
        <v>490</v>
      </c>
      <c r="F19" s="5">
        <v>3807</v>
      </c>
      <c r="G19" s="5">
        <v>3772</v>
      </c>
      <c r="H19" s="5">
        <f t="shared" si="0"/>
        <v>2</v>
      </c>
      <c r="I19" s="5">
        <f t="shared" si="1"/>
        <v>35</v>
      </c>
      <c r="J19" s="7">
        <f t="shared" si="2"/>
        <v>7</v>
      </c>
      <c r="K19" s="7">
        <f t="shared" ref="K19:K24" si="5">I19*1</f>
        <v>35</v>
      </c>
      <c r="L19" s="7">
        <v>230</v>
      </c>
      <c r="M19" s="8">
        <f t="shared" si="3"/>
        <v>272</v>
      </c>
    </row>
    <row r="20" spans="1:13">
      <c r="A20" s="6">
        <v>45240</v>
      </c>
      <c r="B20" s="5" t="s">
        <v>11</v>
      </c>
      <c r="C20" s="5" t="s">
        <v>48</v>
      </c>
      <c r="D20" s="5">
        <v>0</v>
      </c>
      <c r="E20" s="5">
        <v>0</v>
      </c>
      <c r="F20" s="5">
        <v>3857</v>
      </c>
      <c r="G20" s="5">
        <v>3807</v>
      </c>
      <c r="H20" s="5">
        <f t="shared" si="0"/>
        <v>0</v>
      </c>
      <c r="I20" s="5">
        <f t="shared" si="1"/>
        <v>50</v>
      </c>
      <c r="J20" s="7">
        <f t="shared" si="2"/>
        <v>0</v>
      </c>
      <c r="K20" s="7">
        <f t="shared" si="5"/>
        <v>50</v>
      </c>
      <c r="L20" s="7">
        <v>230</v>
      </c>
      <c r="M20" s="8">
        <f t="shared" si="3"/>
        <v>280</v>
      </c>
    </row>
    <row r="21" spans="1:13">
      <c r="A21" s="6">
        <v>45270</v>
      </c>
      <c r="B21" s="5" t="s">
        <v>11</v>
      </c>
      <c r="C21" s="5" t="s">
        <v>48</v>
      </c>
      <c r="D21" s="5">
        <v>496</v>
      </c>
      <c r="E21" s="5">
        <v>492</v>
      </c>
      <c r="F21" s="5">
        <v>3903</v>
      </c>
      <c r="G21" s="5">
        <v>3857</v>
      </c>
      <c r="H21" s="5">
        <f t="shared" si="0"/>
        <v>4</v>
      </c>
      <c r="I21" s="5">
        <f t="shared" si="1"/>
        <v>46</v>
      </c>
      <c r="J21" s="7">
        <f t="shared" si="2"/>
        <v>14</v>
      </c>
      <c r="K21" s="7">
        <f t="shared" si="5"/>
        <v>46</v>
      </c>
      <c r="L21" s="7">
        <v>230</v>
      </c>
      <c r="M21" s="8">
        <f t="shared" si="3"/>
        <v>290</v>
      </c>
    </row>
    <row r="22" spans="1:13">
      <c r="A22" s="6">
        <v>45301</v>
      </c>
      <c r="B22" s="5" t="s">
        <v>11</v>
      </c>
      <c r="C22" s="5" t="s">
        <v>48</v>
      </c>
      <c r="D22" s="5">
        <v>498</v>
      </c>
      <c r="E22" s="5">
        <v>496</v>
      </c>
      <c r="F22" s="5">
        <v>3947</v>
      </c>
      <c r="G22" s="5">
        <v>3903</v>
      </c>
      <c r="H22" s="5">
        <f t="shared" si="0"/>
        <v>2</v>
      </c>
      <c r="I22" s="5">
        <f t="shared" si="1"/>
        <v>44</v>
      </c>
      <c r="J22" s="7">
        <f t="shared" si="2"/>
        <v>7</v>
      </c>
      <c r="K22" s="7">
        <f t="shared" si="5"/>
        <v>44</v>
      </c>
      <c r="L22" s="7">
        <v>230</v>
      </c>
      <c r="M22" s="8">
        <f t="shared" si="3"/>
        <v>281</v>
      </c>
    </row>
    <row r="23" spans="1:13">
      <c r="A23" s="6">
        <v>45332</v>
      </c>
      <c r="B23" s="5" t="s">
        <v>11</v>
      </c>
      <c r="C23" s="5" t="s">
        <v>48</v>
      </c>
      <c r="D23" s="5">
        <v>0</v>
      </c>
      <c r="E23" s="5">
        <v>0</v>
      </c>
      <c r="F23" s="5">
        <v>3980</v>
      </c>
      <c r="G23" s="5">
        <v>3947</v>
      </c>
      <c r="H23" s="5">
        <f t="shared" si="0"/>
        <v>0</v>
      </c>
      <c r="I23" s="5">
        <f t="shared" si="1"/>
        <v>33</v>
      </c>
      <c r="J23" s="7">
        <f t="shared" si="2"/>
        <v>0</v>
      </c>
      <c r="K23" s="7">
        <f t="shared" si="5"/>
        <v>33</v>
      </c>
      <c r="L23" s="7">
        <v>230</v>
      </c>
      <c r="M23" s="8">
        <f t="shared" si="3"/>
        <v>263</v>
      </c>
    </row>
    <row r="24" spans="1:13">
      <c r="A24" s="6">
        <v>45361</v>
      </c>
      <c r="B24" s="5" t="s">
        <v>11</v>
      </c>
      <c r="C24" s="5" t="s">
        <v>48</v>
      </c>
      <c r="D24" s="5">
        <v>500</v>
      </c>
      <c r="E24" s="5">
        <v>498</v>
      </c>
      <c r="F24" s="5">
        <v>4020</v>
      </c>
      <c r="G24" s="5">
        <v>3980</v>
      </c>
      <c r="H24" s="5">
        <f t="shared" si="0"/>
        <v>2</v>
      </c>
      <c r="I24" s="5">
        <f t="shared" si="1"/>
        <v>40</v>
      </c>
      <c r="J24" s="7">
        <f t="shared" si="2"/>
        <v>7</v>
      </c>
      <c r="K24" s="7">
        <f t="shared" si="5"/>
        <v>40</v>
      </c>
      <c r="L24" s="7">
        <v>230</v>
      </c>
      <c r="M24" s="8">
        <f t="shared" si="3"/>
        <v>277</v>
      </c>
    </row>
    <row r="25" spans="1:13">
      <c r="A25" s="6">
        <v>45392</v>
      </c>
      <c r="B25" s="5" t="s">
        <v>11</v>
      </c>
      <c r="C25" s="5" t="s">
        <v>48</v>
      </c>
      <c r="D25" s="5">
        <v>502</v>
      </c>
      <c r="E25" s="5">
        <v>500</v>
      </c>
      <c r="F25" s="5">
        <v>4066</v>
      </c>
      <c r="G25" s="5">
        <v>4020</v>
      </c>
      <c r="H25" s="5">
        <f t="shared" ref="H25:H49" si="6">D25-E25</f>
        <v>2</v>
      </c>
      <c r="I25" s="5">
        <f t="shared" ref="I25:I49" si="7">F25-G25</f>
        <v>46</v>
      </c>
      <c r="J25" s="7">
        <f t="shared" ref="J25:J49" si="8">H25*3.5</f>
        <v>7</v>
      </c>
      <c r="K25" s="7">
        <f t="shared" ref="K25:K49" si="9">I25*1</f>
        <v>46</v>
      </c>
      <c r="L25" s="7">
        <v>230</v>
      </c>
      <c r="M25" s="8">
        <f t="shared" ref="M25:M49" si="10">J25+K25+L25</f>
        <v>283</v>
      </c>
    </row>
    <row r="26" spans="1:13">
      <c r="A26" s="6">
        <v>45422</v>
      </c>
      <c r="B26" s="5" t="s">
        <v>11</v>
      </c>
      <c r="C26" s="5" t="s">
        <v>48</v>
      </c>
      <c r="D26" s="5">
        <v>503</v>
      </c>
      <c r="E26" s="5">
        <v>502</v>
      </c>
      <c r="F26" s="5">
        <v>4118</v>
      </c>
      <c r="G26" s="5">
        <v>4066</v>
      </c>
      <c r="H26" s="5">
        <f t="shared" si="6"/>
        <v>1</v>
      </c>
      <c r="I26" s="5">
        <f t="shared" si="7"/>
        <v>52</v>
      </c>
      <c r="J26" s="7">
        <f t="shared" si="8"/>
        <v>3.5</v>
      </c>
      <c r="K26" s="7">
        <f t="shared" si="9"/>
        <v>52</v>
      </c>
      <c r="L26" s="7">
        <v>230</v>
      </c>
      <c r="M26" s="8">
        <f t="shared" si="10"/>
        <v>285.5</v>
      </c>
    </row>
    <row r="27" spans="1:13">
      <c r="A27" s="6">
        <v>45453</v>
      </c>
      <c r="B27" s="5" t="s">
        <v>11</v>
      </c>
      <c r="C27" s="5" t="s">
        <v>48</v>
      </c>
      <c r="D27" s="5">
        <v>506</v>
      </c>
      <c r="E27" s="5">
        <v>503</v>
      </c>
      <c r="F27" s="5">
        <v>4165</v>
      </c>
      <c r="G27" s="5">
        <v>4118</v>
      </c>
      <c r="H27" s="5">
        <f t="shared" si="6"/>
        <v>3</v>
      </c>
      <c r="I27" s="5">
        <f t="shared" si="7"/>
        <v>47</v>
      </c>
      <c r="J27" s="7">
        <f t="shared" si="8"/>
        <v>10.5</v>
      </c>
      <c r="K27" s="7">
        <f t="shared" si="9"/>
        <v>47</v>
      </c>
      <c r="L27" s="7">
        <v>230</v>
      </c>
      <c r="M27" s="8">
        <f t="shared" si="10"/>
        <v>287.5</v>
      </c>
    </row>
    <row r="28" spans="1:13">
      <c r="A28" s="6">
        <v>45483</v>
      </c>
      <c r="B28" s="5" t="s">
        <v>11</v>
      </c>
      <c r="C28" s="5" t="s">
        <v>48</v>
      </c>
      <c r="D28" s="5">
        <v>508</v>
      </c>
      <c r="E28" s="5">
        <v>506</v>
      </c>
      <c r="F28" s="5">
        <v>4211</v>
      </c>
      <c r="G28" s="5">
        <v>4165</v>
      </c>
      <c r="H28" s="5">
        <f t="shared" si="6"/>
        <v>2</v>
      </c>
      <c r="I28" s="5">
        <f t="shared" si="7"/>
        <v>46</v>
      </c>
      <c r="J28" s="7">
        <f t="shared" si="8"/>
        <v>7</v>
      </c>
      <c r="K28" s="7">
        <f t="shared" si="9"/>
        <v>46</v>
      </c>
      <c r="L28" s="7">
        <v>230</v>
      </c>
      <c r="M28" s="8">
        <f t="shared" si="10"/>
        <v>283</v>
      </c>
    </row>
    <row r="29" spans="1:13">
      <c r="A29" s="6">
        <v>45514</v>
      </c>
      <c r="B29" s="5" t="s">
        <v>11</v>
      </c>
      <c r="C29" s="5" t="s">
        <v>48</v>
      </c>
      <c r="D29" s="5">
        <v>511</v>
      </c>
      <c r="E29" s="5">
        <v>508</v>
      </c>
      <c r="F29" s="5">
        <v>4302</v>
      </c>
      <c r="G29" s="5">
        <v>4211</v>
      </c>
      <c r="H29" s="5">
        <f t="shared" si="6"/>
        <v>3</v>
      </c>
      <c r="I29" s="5">
        <f t="shared" si="7"/>
        <v>91</v>
      </c>
      <c r="J29" s="7">
        <f t="shared" si="8"/>
        <v>10.5</v>
      </c>
      <c r="K29" s="7">
        <f t="shared" si="9"/>
        <v>91</v>
      </c>
      <c r="L29" s="7">
        <v>230</v>
      </c>
      <c r="M29" s="8">
        <f t="shared" si="10"/>
        <v>331.5</v>
      </c>
    </row>
    <row r="30" spans="1:13">
      <c r="A30" s="6">
        <v>45545</v>
      </c>
      <c r="B30" s="5" t="s">
        <v>11</v>
      </c>
      <c r="C30" s="5" t="s">
        <v>48</v>
      </c>
      <c r="D30" s="5">
        <v>514</v>
      </c>
      <c r="E30" s="5">
        <v>511</v>
      </c>
      <c r="F30" s="5">
        <v>4401</v>
      </c>
      <c r="G30" s="5">
        <v>4302</v>
      </c>
      <c r="H30" s="5">
        <f t="shared" si="6"/>
        <v>3</v>
      </c>
      <c r="I30" s="5">
        <f t="shared" si="7"/>
        <v>99</v>
      </c>
      <c r="J30" s="7">
        <f t="shared" si="8"/>
        <v>10.5</v>
      </c>
      <c r="K30" s="7">
        <f t="shared" si="9"/>
        <v>99</v>
      </c>
      <c r="L30" s="7">
        <v>230</v>
      </c>
      <c r="M30" s="8">
        <f t="shared" si="10"/>
        <v>339.5</v>
      </c>
    </row>
    <row r="31" spans="1:13">
      <c r="A31" s="6">
        <v>45575</v>
      </c>
      <c r="B31" s="5" t="s">
        <v>11</v>
      </c>
      <c r="C31" s="5" t="s">
        <v>48</v>
      </c>
      <c r="D31" s="5">
        <v>516</v>
      </c>
      <c r="E31" s="5">
        <v>514</v>
      </c>
      <c r="F31" s="5">
        <v>4444</v>
      </c>
      <c r="G31" s="5">
        <v>4401</v>
      </c>
      <c r="H31" s="5">
        <f t="shared" si="6"/>
        <v>2</v>
      </c>
      <c r="I31" s="5">
        <f t="shared" si="7"/>
        <v>43</v>
      </c>
      <c r="J31" s="7">
        <f t="shared" si="8"/>
        <v>7</v>
      </c>
      <c r="K31" s="7">
        <f t="shared" si="9"/>
        <v>43</v>
      </c>
      <c r="L31" s="7">
        <v>230</v>
      </c>
      <c r="M31" s="8">
        <f t="shared" si="10"/>
        <v>280</v>
      </c>
    </row>
    <row r="32" spans="1:13">
      <c r="A32" s="6">
        <v>45606</v>
      </c>
      <c r="B32" s="5" t="s">
        <v>11</v>
      </c>
      <c r="C32" s="5" t="s">
        <v>48</v>
      </c>
      <c r="D32" s="5">
        <v>519</v>
      </c>
      <c r="E32" s="5">
        <v>516</v>
      </c>
      <c r="F32" s="5">
        <v>4488</v>
      </c>
      <c r="G32" s="5">
        <v>4444</v>
      </c>
      <c r="H32" s="5">
        <f t="shared" si="6"/>
        <v>3</v>
      </c>
      <c r="I32" s="5">
        <f t="shared" si="7"/>
        <v>44</v>
      </c>
      <c r="J32" s="7">
        <f t="shared" si="8"/>
        <v>10.5</v>
      </c>
      <c r="K32" s="7">
        <f t="shared" si="9"/>
        <v>44</v>
      </c>
      <c r="L32" s="7">
        <v>230</v>
      </c>
      <c r="M32" s="8">
        <f t="shared" si="10"/>
        <v>284.5</v>
      </c>
    </row>
    <row r="33" spans="1:15">
      <c r="A33" s="6">
        <v>45636</v>
      </c>
      <c r="B33" s="5" t="s">
        <v>11</v>
      </c>
      <c r="C33" s="5" t="s">
        <v>48</v>
      </c>
      <c r="D33" s="5">
        <v>521</v>
      </c>
      <c r="E33" s="5">
        <v>519</v>
      </c>
      <c r="F33" s="5">
        <v>4531</v>
      </c>
      <c r="G33" s="5">
        <v>4488</v>
      </c>
      <c r="H33" s="5">
        <f t="shared" si="6"/>
        <v>2</v>
      </c>
      <c r="I33" s="5">
        <f t="shared" si="7"/>
        <v>43</v>
      </c>
      <c r="J33" s="7">
        <f t="shared" si="8"/>
        <v>7</v>
      </c>
      <c r="K33" s="7">
        <f t="shared" si="9"/>
        <v>43</v>
      </c>
      <c r="L33" s="7">
        <v>230</v>
      </c>
      <c r="M33" s="8">
        <f t="shared" si="10"/>
        <v>280</v>
      </c>
    </row>
    <row r="34" spans="1:15">
      <c r="A34" s="6">
        <v>45672</v>
      </c>
      <c r="B34" s="5" t="s">
        <v>11</v>
      </c>
      <c r="C34" s="5" t="s">
        <v>48</v>
      </c>
      <c r="D34" s="5">
        <v>524</v>
      </c>
      <c r="E34" s="5">
        <v>521</v>
      </c>
      <c r="F34" s="5">
        <v>4591</v>
      </c>
      <c r="G34" s="5">
        <v>4531</v>
      </c>
      <c r="H34" s="5">
        <f t="shared" si="6"/>
        <v>3</v>
      </c>
      <c r="I34" s="5">
        <f t="shared" si="7"/>
        <v>60</v>
      </c>
      <c r="J34" s="7">
        <f t="shared" si="8"/>
        <v>10.5</v>
      </c>
      <c r="K34" s="7">
        <f t="shared" si="9"/>
        <v>60</v>
      </c>
      <c r="L34" s="7">
        <v>240</v>
      </c>
      <c r="M34" s="8">
        <f t="shared" si="10"/>
        <v>310.5</v>
      </c>
      <c r="O34" s="5" t="s">
        <v>59</v>
      </c>
    </row>
    <row r="35" spans="1:15">
      <c r="A35" s="6">
        <v>45703</v>
      </c>
      <c r="B35" s="5" t="s">
        <v>11</v>
      </c>
      <c r="C35" s="5" t="s">
        <v>48</v>
      </c>
      <c r="D35" s="5">
        <v>526</v>
      </c>
      <c r="E35" s="5">
        <v>524</v>
      </c>
      <c r="F35" s="5">
        <v>4631</v>
      </c>
      <c r="G35" s="5">
        <v>4591</v>
      </c>
      <c r="H35" s="5">
        <f t="shared" si="6"/>
        <v>2</v>
      </c>
      <c r="I35" s="5">
        <f t="shared" si="7"/>
        <v>40</v>
      </c>
      <c r="J35" s="7">
        <f t="shared" si="8"/>
        <v>7</v>
      </c>
      <c r="K35" s="7">
        <f t="shared" si="9"/>
        <v>40</v>
      </c>
      <c r="L35" s="7">
        <v>240</v>
      </c>
      <c r="M35" s="8">
        <f t="shared" si="10"/>
        <v>287</v>
      </c>
    </row>
    <row r="36" spans="1:15">
      <c r="A36" s="6">
        <v>45731</v>
      </c>
      <c r="B36" s="5" t="s">
        <v>11</v>
      </c>
      <c r="C36" s="5" t="s">
        <v>48</v>
      </c>
      <c r="D36" s="5">
        <v>528</v>
      </c>
      <c r="E36" s="5">
        <v>526</v>
      </c>
      <c r="F36" s="5">
        <v>4676</v>
      </c>
      <c r="G36" s="5">
        <v>4631</v>
      </c>
      <c r="H36" s="5">
        <f t="shared" si="6"/>
        <v>2</v>
      </c>
      <c r="I36" s="5">
        <f t="shared" si="7"/>
        <v>45</v>
      </c>
      <c r="J36" s="7">
        <f t="shared" si="8"/>
        <v>7</v>
      </c>
      <c r="K36" s="7">
        <f t="shared" si="9"/>
        <v>45</v>
      </c>
      <c r="L36" s="7">
        <v>240</v>
      </c>
      <c r="M36" s="8">
        <f t="shared" si="10"/>
        <v>292</v>
      </c>
    </row>
    <row r="37" spans="1:15">
      <c r="A37" s="6">
        <v>45762</v>
      </c>
      <c r="B37" s="5" t="s">
        <v>11</v>
      </c>
      <c r="C37" s="5" t="s">
        <v>48</v>
      </c>
      <c r="D37" s="5">
        <v>531</v>
      </c>
      <c r="E37" s="5">
        <v>528</v>
      </c>
      <c r="F37" s="5">
        <v>4732</v>
      </c>
      <c r="G37" s="5">
        <v>4676</v>
      </c>
      <c r="H37" s="5">
        <f t="shared" si="6"/>
        <v>3</v>
      </c>
      <c r="I37" s="5">
        <f t="shared" si="7"/>
        <v>56</v>
      </c>
      <c r="J37" s="7">
        <f t="shared" si="8"/>
        <v>10.5</v>
      </c>
      <c r="K37" s="7">
        <f t="shared" si="9"/>
        <v>56</v>
      </c>
      <c r="L37" s="7">
        <v>240</v>
      </c>
      <c r="M37" s="8">
        <f t="shared" si="10"/>
        <v>306.5</v>
      </c>
    </row>
    <row r="38" spans="1:15" ht="20">
      <c r="A38" s="6">
        <v>45792</v>
      </c>
      <c r="B38" s="5" t="s">
        <v>11</v>
      </c>
      <c r="C38" s="5" t="s">
        <v>48</v>
      </c>
      <c r="D38" s="5">
        <v>534</v>
      </c>
      <c r="E38" s="5">
        <v>531</v>
      </c>
      <c r="F38" s="1">
        <v>4760</v>
      </c>
      <c r="G38" s="5">
        <v>4732</v>
      </c>
      <c r="H38" s="5">
        <f t="shared" si="6"/>
        <v>3</v>
      </c>
      <c r="I38" s="5">
        <f t="shared" si="7"/>
        <v>28</v>
      </c>
      <c r="J38" s="7">
        <f t="shared" si="8"/>
        <v>10.5</v>
      </c>
      <c r="K38" s="7">
        <f t="shared" si="9"/>
        <v>28</v>
      </c>
      <c r="L38" s="7">
        <v>240</v>
      </c>
      <c r="M38" s="8">
        <f t="shared" si="10"/>
        <v>278.5</v>
      </c>
    </row>
    <row r="39" spans="1:15">
      <c r="A39" s="6">
        <v>45792</v>
      </c>
      <c r="B39" s="5" t="s">
        <v>11</v>
      </c>
      <c r="C39" s="5" t="s">
        <v>48</v>
      </c>
      <c r="D39" s="5">
        <v>0</v>
      </c>
      <c r="E39" s="5">
        <v>0</v>
      </c>
      <c r="F39" s="5">
        <v>18</v>
      </c>
      <c r="G39" s="5">
        <v>0</v>
      </c>
      <c r="H39" s="5">
        <f t="shared" si="6"/>
        <v>0</v>
      </c>
      <c r="I39" s="5">
        <f t="shared" si="7"/>
        <v>18</v>
      </c>
      <c r="J39" s="7">
        <f t="shared" si="8"/>
        <v>0</v>
      </c>
      <c r="K39" s="7">
        <f t="shared" si="9"/>
        <v>18</v>
      </c>
      <c r="L39" s="7">
        <v>0</v>
      </c>
      <c r="M39" s="8">
        <f t="shared" si="10"/>
        <v>18</v>
      </c>
    </row>
    <row r="40" spans="1:15">
      <c r="A40" s="6">
        <v>45823</v>
      </c>
      <c r="B40" s="5" t="s">
        <v>11</v>
      </c>
      <c r="C40" s="5" t="s">
        <v>48</v>
      </c>
      <c r="D40" s="5">
        <v>538</v>
      </c>
      <c r="E40" s="5">
        <v>534</v>
      </c>
      <c r="F40" s="5">
        <v>62</v>
      </c>
      <c r="G40" s="5">
        <v>18</v>
      </c>
      <c r="H40" s="5">
        <f t="shared" si="6"/>
        <v>4</v>
      </c>
      <c r="I40" s="5">
        <f t="shared" si="7"/>
        <v>44</v>
      </c>
      <c r="J40" s="7">
        <f t="shared" si="8"/>
        <v>14</v>
      </c>
      <c r="K40" s="7">
        <f t="shared" si="9"/>
        <v>44</v>
      </c>
      <c r="L40" s="7">
        <v>240</v>
      </c>
      <c r="M40" s="8">
        <f t="shared" si="10"/>
        <v>298</v>
      </c>
    </row>
    <row r="41" spans="1:15">
      <c r="A41" s="6">
        <v>45853</v>
      </c>
      <c r="B41" s="5" t="s">
        <v>76</v>
      </c>
      <c r="C41" s="5" t="s">
        <v>48</v>
      </c>
      <c r="D41" s="5">
        <v>542</v>
      </c>
      <c r="E41" s="5">
        <v>538</v>
      </c>
      <c r="F41" s="5">
        <v>155</v>
      </c>
      <c r="G41" s="5">
        <v>62</v>
      </c>
      <c r="H41" s="5">
        <f t="shared" si="6"/>
        <v>4</v>
      </c>
      <c r="I41" s="5">
        <f t="shared" si="7"/>
        <v>93</v>
      </c>
      <c r="J41" s="7">
        <f t="shared" si="8"/>
        <v>14</v>
      </c>
      <c r="K41" s="7">
        <f t="shared" si="9"/>
        <v>93</v>
      </c>
      <c r="L41" s="7">
        <v>240</v>
      </c>
      <c r="M41" s="8">
        <f t="shared" si="10"/>
        <v>347</v>
      </c>
    </row>
    <row r="42" spans="1:15">
      <c r="A42" s="6">
        <v>45884</v>
      </c>
      <c r="B42" s="5" t="s">
        <v>76</v>
      </c>
      <c r="C42" s="5" t="s">
        <v>48</v>
      </c>
      <c r="D42" s="5">
        <v>546</v>
      </c>
      <c r="E42" s="5">
        <v>542</v>
      </c>
      <c r="F42" s="5">
        <v>231</v>
      </c>
      <c r="G42" s="5">
        <v>155</v>
      </c>
      <c r="H42" s="5">
        <f t="shared" si="6"/>
        <v>4</v>
      </c>
      <c r="I42" s="5">
        <f t="shared" si="7"/>
        <v>76</v>
      </c>
      <c r="J42" s="7">
        <f t="shared" si="8"/>
        <v>14</v>
      </c>
      <c r="K42" s="7">
        <f t="shared" si="9"/>
        <v>76</v>
      </c>
      <c r="L42" s="7">
        <v>240</v>
      </c>
      <c r="M42" s="8">
        <f t="shared" si="10"/>
        <v>330</v>
      </c>
    </row>
    <row r="43" spans="1:15">
      <c r="A43" s="6">
        <v>45915</v>
      </c>
      <c r="B43" s="5" t="s">
        <v>76</v>
      </c>
      <c r="C43" s="5" t="s">
        <v>48</v>
      </c>
      <c r="D43" s="5">
        <v>551</v>
      </c>
      <c r="E43" s="5">
        <v>546</v>
      </c>
      <c r="F43" s="5">
        <v>285</v>
      </c>
      <c r="G43" s="5">
        <v>231</v>
      </c>
      <c r="H43" s="5">
        <f t="shared" si="6"/>
        <v>5</v>
      </c>
      <c r="I43" s="5">
        <f t="shared" si="7"/>
        <v>54</v>
      </c>
      <c r="J43" s="7">
        <f t="shared" si="8"/>
        <v>17.5</v>
      </c>
      <c r="K43" s="7">
        <f t="shared" si="9"/>
        <v>54</v>
      </c>
      <c r="L43" s="7">
        <v>240</v>
      </c>
      <c r="M43" s="8">
        <f t="shared" si="10"/>
        <v>311.5</v>
      </c>
    </row>
    <row r="44" spans="1:15">
      <c r="A44" s="6">
        <v>45945</v>
      </c>
      <c r="B44" s="5" t="s">
        <v>76</v>
      </c>
      <c r="C44" s="5" t="s">
        <v>282</v>
      </c>
      <c r="D44" s="5">
        <v>556</v>
      </c>
      <c r="E44" s="5">
        <v>551</v>
      </c>
      <c r="F44" s="5">
        <v>329</v>
      </c>
      <c r="G44" s="5">
        <v>285</v>
      </c>
      <c r="H44" s="5">
        <f t="shared" si="6"/>
        <v>5</v>
      </c>
      <c r="I44" s="5">
        <f t="shared" si="7"/>
        <v>44</v>
      </c>
      <c r="J44" s="7">
        <f t="shared" si="8"/>
        <v>17.5</v>
      </c>
      <c r="K44" s="7">
        <f t="shared" si="9"/>
        <v>44</v>
      </c>
      <c r="L44" s="7">
        <v>240</v>
      </c>
      <c r="M44" s="8">
        <f t="shared" si="10"/>
        <v>301.5</v>
      </c>
    </row>
    <row r="45" spans="1:15">
      <c r="A45" s="6">
        <v>45976</v>
      </c>
      <c r="B45" s="5" t="s">
        <v>76</v>
      </c>
      <c r="C45" s="5" t="s">
        <v>282</v>
      </c>
      <c r="D45" s="5">
        <v>560</v>
      </c>
      <c r="E45" s="5">
        <v>556</v>
      </c>
      <c r="F45" s="5">
        <v>378</v>
      </c>
      <c r="G45" s="5">
        <v>329</v>
      </c>
      <c r="H45" s="5">
        <f t="shared" si="6"/>
        <v>4</v>
      </c>
      <c r="I45" s="5">
        <f t="shared" si="7"/>
        <v>49</v>
      </c>
      <c r="J45" s="7">
        <f t="shared" si="8"/>
        <v>14</v>
      </c>
      <c r="K45" s="7">
        <f t="shared" si="9"/>
        <v>49</v>
      </c>
      <c r="L45" s="7">
        <v>240</v>
      </c>
      <c r="M45" s="8">
        <f t="shared" si="10"/>
        <v>303</v>
      </c>
    </row>
    <row r="46" spans="1:15">
      <c r="A46" s="6">
        <v>46006</v>
      </c>
      <c r="B46" s="5" t="s">
        <v>76</v>
      </c>
      <c r="C46" s="5" t="s">
        <v>282</v>
      </c>
      <c r="D46" s="5">
        <v>563</v>
      </c>
      <c r="E46" s="5">
        <v>560</v>
      </c>
      <c r="F46" s="5">
        <v>437</v>
      </c>
      <c r="G46" s="5">
        <v>378</v>
      </c>
      <c r="H46" s="5">
        <f t="shared" si="6"/>
        <v>3</v>
      </c>
      <c r="I46" s="5">
        <f t="shared" si="7"/>
        <v>59</v>
      </c>
      <c r="J46" s="7">
        <f t="shared" si="8"/>
        <v>10.5</v>
      </c>
      <c r="K46" s="7">
        <f t="shared" si="9"/>
        <v>59</v>
      </c>
      <c r="L46" s="7">
        <v>240</v>
      </c>
      <c r="M46" s="8">
        <f t="shared" si="10"/>
        <v>309.5</v>
      </c>
    </row>
    <row r="47" spans="1:15">
      <c r="A47" s="6">
        <v>46037</v>
      </c>
      <c r="B47" s="5" t="s">
        <v>76</v>
      </c>
      <c r="C47" s="5" t="s">
        <v>282</v>
      </c>
      <c r="D47" s="5">
        <v>566</v>
      </c>
      <c r="E47" s="5">
        <v>563</v>
      </c>
      <c r="F47" s="5">
        <v>501</v>
      </c>
      <c r="G47" s="5">
        <v>437</v>
      </c>
      <c r="H47" s="5">
        <f t="shared" si="6"/>
        <v>3</v>
      </c>
      <c r="I47" s="5">
        <f t="shared" si="7"/>
        <v>64</v>
      </c>
      <c r="J47" s="7">
        <f t="shared" si="8"/>
        <v>10.5</v>
      </c>
      <c r="K47" s="7">
        <f t="shared" si="9"/>
        <v>64</v>
      </c>
      <c r="L47" s="7">
        <v>240</v>
      </c>
      <c r="M47" s="8">
        <f t="shared" si="10"/>
        <v>314.5</v>
      </c>
    </row>
    <row r="48" spans="1:15">
      <c r="A48" s="6">
        <v>46068</v>
      </c>
      <c r="B48" s="5" t="s">
        <v>76</v>
      </c>
      <c r="C48" s="5" t="s">
        <v>282</v>
      </c>
      <c r="D48" s="5">
        <v>0</v>
      </c>
      <c r="E48" s="5">
        <v>0</v>
      </c>
      <c r="F48" s="5">
        <v>0</v>
      </c>
      <c r="G48" s="5">
        <v>0</v>
      </c>
      <c r="H48" s="5">
        <f t="shared" si="6"/>
        <v>0</v>
      </c>
      <c r="I48" s="5">
        <f t="shared" si="7"/>
        <v>0</v>
      </c>
      <c r="J48" s="7">
        <f t="shared" si="8"/>
        <v>0</v>
      </c>
      <c r="K48" s="7">
        <f t="shared" si="9"/>
        <v>0</v>
      </c>
      <c r="L48" s="7">
        <v>240</v>
      </c>
      <c r="M48" s="8">
        <f t="shared" si="10"/>
        <v>240</v>
      </c>
    </row>
    <row r="49" spans="1:13">
      <c r="A49" s="6">
        <v>46096</v>
      </c>
      <c r="B49" s="5" t="s">
        <v>329</v>
      </c>
      <c r="C49" s="5" t="s">
        <v>330</v>
      </c>
      <c r="D49" s="5">
        <v>570</v>
      </c>
      <c r="E49" s="5">
        <v>566</v>
      </c>
      <c r="F49" s="5">
        <v>599</v>
      </c>
      <c r="G49" s="5">
        <v>501</v>
      </c>
      <c r="H49" s="5">
        <f t="shared" si="6"/>
        <v>4</v>
      </c>
      <c r="I49" s="5">
        <f t="shared" si="7"/>
        <v>98</v>
      </c>
      <c r="J49" s="7">
        <f t="shared" si="8"/>
        <v>14</v>
      </c>
      <c r="K49" s="7">
        <f t="shared" si="9"/>
        <v>98</v>
      </c>
      <c r="L49" s="7">
        <v>240</v>
      </c>
      <c r="M49" s="8">
        <f t="shared" si="10"/>
        <v>352</v>
      </c>
    </row>
    <row r="50" spans="1:13">
      <c r="A50" s="3" t="s">
        <v>108</v>
      </c>
      <c r="B50" s="4" t="s">
        <v>107</v>
      </c>
      <c r="C50" s="4" t="s">
        <v>107</v>
      </c>
      <c r="D50" s="4" t="s">
        <v>107</v>
      </c>
      <c r="E50" s="4" t="s">
        <v>107</v>
      </c>
      <c r="F50" s="4" t="s">
        <v>107</v>
      </c>
      <c r="G50" s="4" t="s">
        <v>107</v>
      </c>
      <c r="H50" s="5">
        <f t="shared" ref="H50:M50" si="11">SUBTOTAL(9,H3:H49)</f>
        <v>109</v>
      </c>
      <c r="I50" s="5">
        <f t="shared" si="11"/>
        <v>2279</v>
      </c>
      <c r="J50" s="7">
        <f t="shared" si="11"/>
        <v>381.5</v>
      </c>
      <c r="K50" s="7">
        <f t="shared" si="11"/>
        <v>2209.8000000000002</v>
      </c>
      <c r="L50" s="7">
        <f t="shared" si="11"/>
        <v>10730</v>
      </c>
      <c r="M50" s="10">
        <f t="shared" si="11"/>
        <v>13321.3</v>
      </c>
    </row>
  </sheetData>
  <mergeCells count="10">
    <mergeCell ref="L1:L2"/>
    <mergeCell ref="M1:M2"/>
    <mergeCell ref="D1:E1"/>
    <mergeCell ref="F1:G1"/>
    <mergeCell ref="H1:I1"/>
    <mergeCell ref="A1:A2"/>
    <mergeCell ref="B1:B2"/>
    <mergeCell ref="C1:C2"/>
    <mergeCell ref="J1:J2"/>
    <mergeCell ref="K1:K2"/>
  </mergeCells>
  <phoneticPr fontId="1" type="noConversion"/>
  <conditionalFormatting sqref="A1:XFD1048576">
    <cfRule type="cellIs" dxfId="7" priority="1" operator="equal">
      <formula>0</formula>
    </cfRule>
  </conditionalFormatting>
  <conditionalFormatting sqref="N3:N49">
    <cfRule type="cellIs" dxfId="6" priority="2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O49"/>
  <sheetViews>
    <sheetView topLeftCell="B1" zoomScale="120" zoomScaleNormal="120" workbookViewId="0">
      <pane ySplit="2" topLeftCell="A38" activePane="bottomLeft" state="frozen"/>
      <selection activeCell="F38" sqref="F38"/>
      <selection pane="bottomLeft" activeCell="J52" sqref="J52"/>
    </sheetView>
  </sheetViews>
  <sheetFormatPr baseColWidth="10" defaultColWidth="10.85546875" defaultRowHeight="18"/>
  <cols>
    <col min="1" max="1" width="16.2851562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1" width="9.85546875" style="7" bestFit="1" customWidth="1"/>
    <col min="12" max="12" width="10.7109375" style="7" bestFit="1" customWidth="1"/>
    <col min="13" max="13" width="13.42578125" style="8" bestFit="1" customWidth="1"/>
    <col min="14" max="14" width="9.42578125" style="5" bestFit="1" customWidth="1"/>
    <col min="15" max="15" width="49" style="5" bestFit="1" customWidth="1"/>
    <col min="16" max="16384" width="10.85546875" style="5"/>
  </cols>
  <sheetData>
    <row r="1" spans="1:15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</row>
    <row r="2" spans="1:15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200</v>
      </c>
    </row>
    <row r="3" spans="1:15">
      <c r="A3" s="6">
        <v>44716</v>
      </c>
      <c r="B3" s="5" t="s">
        <v>67</v>
      </c>
      <c r="C3" s="5" t="s">
        <v>156</v>
      </c>
      <c r="D3" s="5">
        <v>97</v>
      </c>
      <c r="E3" s="5">
        <v>97</v>
      </c>
      <c r="F3" s="5">
        <v>4373</v>
      </c>
      <c r="G3" s="5">
        <v>4373</v>
      </c>
      <c r="H3" s="5">
        <f t="shared" ref="H3:H13" si="0">D3-E3</f>
        <v>0</v>
      </c>
      <c r="I3" s="5">
        <f t="shared" ref="I3:I13" si="1">F3-G3</f>
        <v>0</v>
      </c>
      <c r="J3" s="7">
        <f t="shared" ref="J3:J13" si="2">H3*3.5</f>
        <v>0</v>
      </c>
      <c r="K3" s="7">
        <f>I3*0.9</f>
        <v>0</v>
      </c>
      <c r="L3" s="7">
        <v>230</v>
      </c>
      <c r="M3" s="8">
        <f t="shared" ref="M3:M23" si="3">J3+K3+L3</f>
        <v>230</v>
      </c>
    </row>
    <row r="4" spans="1:15">
      <c r="A4" s="6">
        <v>44746</v>
      </c>
      <c r="B4" s="5" t="s">
        <v>67</v>
      </c>
      <c r="C4" s="5" t="s">
        <v>156</v>
      </c>
      <c r="D4" s="5">
        <v>102</v>
      </c>
      <c r="E4" s="5">
        <v>97</v>
      </c>
      <c r="F4" s="5">
        <v>4384</v>
      </c>
      <c r="G4" s="5">
        <v>4373</v>
      </c>
      <c r="H4" s="5">
        <f t="shared" si="0"/>
        <v>5</v>
      </c>
      <c r="I4" s="5">
        <f t="shared" si="1"/>
        <v>11</v>
      </c>
      <c r="J4" s="7">
        <f t="shared" si="2"/>
        <v>17.5</v>
      </c>
      <c r="K4" s="7">
        <f t="shared" ref="K4:K13" si="4">I4*0.9</f>
        <v>9.9</v>
      </c>
      <c r="L4" s="7">
        <v>115</v>
      </c>
      <c r="M4" s="8">
        <f t="shared" si="3"/>
        <v>142.4</v>
      </c>
      <c r="O4" s="5" t="s">
        <v>237</v>
      </c>
    </row>
    <row r="5" spans="1:15">
      <c r="A5" s="6">
        <v>44808</v>
      </c>
      <c r="B5" s="5" t="s">
        <v>67</v>
      </c>
      <c r="C5" s="5" t="s">
        <v>60</v>
      </c>
      <c r="D5" s="5">
        <v>102</v>
      </c>
      <c r="E5" s="5">
        <v>102</v>
      </c>
      <c r="F5" s="5">
        <v>4384</v>
      </c>
      <c r="G5" s="5">
        <v>4384</v>
      </c>
      <c r="H5" s="5">
        <f t="shared" ref="H5:H9" si="5">D5-E5</f>
        <v>0</v>
      </c>
      <c r="I5" s="5">
        <f t="shared" ref="I5:I9" si="6">F5-G5</f>
        <v>0</v>
      </c>
      <c r="J5" s="7">
        <f t="shared" ref="J5:J9" si="7">H5*3.5</f>
        <v>0</v>
      </c>
      <c r="K5" s="7">
        <f t="shared" ref="K5:K9" si="8">I5*0.9</f>
        <v>0</v>
      </c>
      <c r="L5" s="7">
        <v>230</v>
      </c>
      <c r="M5" s="8">
        <f t="shared" si="3"/>
        <v>230</v>
      </c>
    </row>
    <row r="6" spans="1:15">
      <c r="A6" s="6">
        <v>44838</v>
      </c>
      <c r="B6" s="5" t="s">
        <v>67</v>
      </c>
      <c r="C6" s="5" t="s">
        <v>60</v>
      </c>
      <c r="D6" s="5">
        <v>104</v>
      </c>
      <c r="E6" s="5">
        <v>102</v>
      </c>
      <c r="F6" s="5">
        <v>4515</v>
      </c>
      <c r="G6" s="5">
        <v>4384</v>
      </c>
      <c r="H6" s="5">
        <f t="shared" si="5"/>
        <v>2</v>
      </c>
      <c r="I6" s="5">
        <f t="shared" si="6"/>
        <v>131</v>
      </c>
      <c r="J6" s="7">
        <f t="shared" si="7"/>
        <v>7</v>
      </c>
      <c r="K6" s="7">
        <f t="shared" si="8"/>
        <v>117.9</v>
      </c>
      <c r="L6" s="7">
        <v>230</v>
      </c>
      <c r="M6" s="8">
        <f t="shared" si="3"/>
        <v>354.9</v>
      </c>
    </row>
    <row r="7" spans="1:15">
      <c r="A7" s="6">
        <v>44869</v>
      </c>
      <c r="B7" s="5" t="s">
        <v>67</v>
      </c>
      <c r="C7" s="5" t="s">
        <v>60</v>
      </c>
      <c r="D7" s="5">
        <v>106</v>
      </c>
      <c r="E7" s="5">
        <v>104</v>
      </c>
      <c r="F7" s="5">
        <v>4519</v>
      </c>
      <c r="G7" s="5">
        <v>4515</v>
      </c>
      <c r="H7" s="5">
        <f t="shared" si="5"/>
        <v>2</v>
      </c>
      <c r="I7" s="5">
        <f t="shared" si="6"/>
        <v>4</v>
      </c>
      <c r="J7" s="7">
        <f t="shared" si="7"/>
        <v>7</v>
      </c>
      <c r="K7" s="7">
        <f t="shared" si="8"/>
        <v>3.6</v>
      </c>
      <c r="L7" s="7">
        <v>230</v>
      </c>
      <c r="M7" s="8">
        <f t="shared" si="3"/>
        <v>240.6</v>
      </c>
    </row>
    <row r="8" spans="1:15">
      <c r="A8" s="6">
        <v>44899</v>
      </c>
      <c r="B8" s="5" t="s">
        <v>67</v>
      </c>
      <c r="C8" s="5" t="s">
        <v>60</v>
      </c>
      <c r="D8" s="5">
        <v>108</v>
      </c>
      <c r="E8" s="5">
        <v>106</v>
      </c>
      <c r="F8" s="5">
        <v>4523</v>
      </c>
      <c r="G8" s="5">
        <v>4519</v>
      </c>
      <c r="H8" s="5">
        <f t="shared" si="5"/>
        <v>2</v>
      </c>
      <c r="I8" s="5">
        <f t="shared" si="6"/>
        <v>4</v>
      </c>
      <c r="J8" s="7">
        <f t="shared" si="7"/>
        <v>7</v>
      </c>
      <c r="K8" s="7">
        <f t="shared" si="8"/>
        <v>3.6</v>
      </c>
      <c r="L8" s="7">
        <v>230</v>
      </c>
      <c r="M8" s="8">
        <f t="shared" si="3"/>
        <v>240.6</v>
      </c>
    </row>
    <row r="9" spans="1:15">
      <c r="A9" s="6">
        <v>44930</v>
      </c>
      <c r="B9" s="5" t="s">
        <v>67</v>
      </c>
      <c r="C9" s="5" t="s">
        <v>60</v>
      </c>
      <c r="D9" s="5">
        <v>110</v>
      </c>
      <c r="E9" s="5">
        <v>108</v>
      </c>
      <c r="F9" s="5">
        <v>4570</v>
      </c>
      <c r="G9" s="5">
        <v>4523</v>
      </c>
      <c r="H9" s="5">
        <f t="shared" si="5"/>
        <v>2</v>
      </c>
      <c r="I9" s="5">
        <f t="shared" si="6"/>
        <v>47</v>
      </c>
      <c r="J9" s="7">
        <f t="shared" si="7"/>
        <v>7</v>
      </c>
      <c r="K9" s="7">
        <f t="shared" si="8"/>
        <v>42.300000000000004</v>
      </c>
      <c r="L9" s="7">
        <v>230</v>
      </c>
      <c r="M9" s="8">
        <f t="shared" si="3"/>
        <v>279.3</v>
      </c>
    </row>
    <row r="10" spans="1:15">
      <c r="A10" s="6">
        <v>44961</v>
      </c>
      <c r="B10" s="5" t="s">
        <v>67</v>
      </c>
      <c r="C10" s="5" t="s">
        <v>60</v>
      </c>
      <c r="D10" s="5">
        <v>114</v>
      </c>
      <c r="E10" s="5">
        <v>110</v>
      </c>
      <c r="F10" s="5">
        <v>0</v>
      </c>
      <c r="G10" s="5">
        <v>0</v>
      </c>
      <c r="H10" s="5">
        <f t="shared" si="0"/>
        <v>4</v>
      </c>
      <c r="I10" s="5">
        <f t="shared" si="1"/>
        <v>0</v>
      </c>
      <c r="J10" s="7">
        <f t="shared" si="2"/>
        <v>14</v>
      </c>
      <c r="K10" s="7">
        <f t="shared" si="4"/>
        <v>0</v>
      </c>
      <c r="L10" s="7">
        <v>230</v>
      </c>
      <c r="M10" s="8">
        <f t="shared" si="3"/>
        <v>244</v>
      </c>
    </row>
    <row r="11" spans="1:15">
      <c r="A11" s="6">
        <v>44989</v>
      </c>
      <c r="B11" s="5" t="s">
        <v>67</v>
      </c>
      <c r="C11" s="5" t="s">
        <v>60</v>
      </c>
      <c r="D11" s="5">
        <v>116</v>
      </c>
      <c r="E11" s="5">
        <v>114</v>
      </c>
      <c r="F11" s="5">
        <v>0</v>
      </c>
      <c r="G11" s="5">
        <v>0</v>
      </c>
      <c r="H11" s="5">
        <f t="shared" si="0"/>
        <v>2</v>
      </c>
      <c r="I11" s="5">
        <f t="shared" si="1"/>
        <v>0</v>
      </c>
      <c r="J11" s="7">
        <f t="shared" si="2"/>
        <v>7</v>
      </c>
      <c r="K11" s="7">
        <f t="shared" si="4"/>
        <v>0</v>
      </c>
      <c r="L11" s="7">
        <v>230</v>
      </c>
      <c r="M11" s="8">
        <f t="shared" si="3"/>
        <v>237</v>
      </c>
    </row>
    <row r="12" spans="1:15">
      <c r="A12" s="6">
        <v>45020</v>
      </c>
      <c r="B12" s="5" t="s">
        <v>67</v>
      </c>
      <c r="C12" s="5" t="s">
        <v>60</v>
      </c>
      <c r="D12" s="5">
        <v>118</v>
      </c>
      <c r="E12" s="5">
        <v>116</v>
      </c>
      <c r="F12" s="5">
        <v>4576</v>
      </c>
      <c r="G12" s="5">
        <v>4570</v>
      </c>
      <c r="H12" s="5">
        <f t="shared" si="0"/>
        <v>2</v>
      </c>
      <c r="I12" s="5">
        <f t="shared" si="1"/>
        <v>6</v>
      </c>
      <c r="J12" s="7">
        <f t="shared" si="2"/>
        <v>7</v>
      </c>
      <c r="K12" s="7">
        <f t="shared" si="4"/>
        <v>5.4</v>
      </c>
      <c r="L12" s="7">
        <v>230</v>
      </c>
      <c r="M12" s="8">
        <f t="shared" si="3"/>
        <v>242.4</v>
      </c>
    </row>
    <row r="13" spans="1:15">
      <c r="A13" s="6">
        <v>45050</v>
      </c>
      <c r="B13" s="5" t="s">
        <v>67</v>
      </c>
      <c r="C13" s="5" t="s">
        <v>60</v>
      </c>
      <c r="D13" s="5">
        <v>120</v>
      </c>
      <c r="E13" s="5">
        <v>118</v>
      </c>
      <c r="F13" s="5">
        <v>4627</v>
      </c>
      <c r="G13" s="5">
        <v>4576</v>
      </c>
      <c r="H13" s="5">
        <f t="shared" si="0"/>
        <v>2</v>
      </c>
      <c r="I13" s="5">
        <f t="shared" si="1"/>
        <v>51</v>
      </c>
      <c r="J13" s="7">
        <f t="shared" si="2"/>
        <v>7</v>
      </c>
      <c r="K13" s="7">
        <f t="shared" si="4"/>
        <v>45.9</v>
      </c>
      <c r="L13" s="7">
        <v>230</v>
      </c>
      <c r="M13" s="8">
        <f t="shared" si="3"/>
        <v>282.89999999999998</v>
      </c>
    </row>
    <row r="14" spans="1:15">
      <c r="A14" s="6">
        <v>45081</v>
      </c>
      <c r="B14" s="5" t="s">
        <v>67</v>
      </c>
      <c r="C14" s="5" t="s">
        <v>60</v>
      </c>
      <c r="D14" s="5">
        <v>122</v>
      </c>
      <c r="E14" s="5">
        <v>120</v>
      </c>
      <c r="F14" s="5">
        <v>4706</v>
      </c>
      <c r="G14" s="5">
        <v>4627</v>
      </c>
      <c r="H14" s="5">
        <f t="shared" ref="H14:H23" si="9">D14-E14</f>
        <v>2</v>
      </c>
      <c r="I14" s="5">
        <f t="shared" ref="I14:I23" si="10">F14-G14</f>
        <v>79</v>
      </c>
      <c r="J14" s="7">
        <f t="shared" ref="J14:J23" si="11">H14*3.5</f>
        <v>7</v>
      </c>
      <c r="K14" s="7">
        <f t="shared" ref="K14:K17" si="12">I14*0.9</f>
        <v>71.100000000000009</v>
      </c>
      <c r="L14" s="7">
        <v>230</v>
      </c>
      <c r="M14" s="8">
        <f t="shared" si="3"/>
        <v>308.10000000000002</v>
      </c>
    </row>
    <row r="15" spans="1:15">
      <c r="A15" s="6">
        <v>45111</v>
      </c>
      <c r="B15" s="5" t="s">
        <v>67</v>
      </c>
      <c r="C15" s="5" t="s">
        <v>60</v>
      </c>
      <c r="D15" s="5">
        <v>124</v>
      </c>
      <c r="E15" s="5">
        <v>122</v>
      </c>
      <c r="F15" s="5">
        <v>4806</v>
      </c>
      <c r="G15" s="5">
        <v>4706</v>
      </c>
      <c r="H15" s="5">
        <f t="shared" si="9"/>
        <v>2</v>
      </c>
      <c r="I15" s="5">
        <f t="shared" si="10"/>
        <v>100</v>
      </c>
      <c r="J15" s="7">
        <f t="shared" si="11"/>
        <v>7</v>
      </c>
      <c r="K15" s="7">
        <f t="shared" si="12"/>
        <v>90</v>
      </c>
      <c r="L15" s="7">
        <v>230</v>
      </c>
      <c r="M15" s="8">
        <f t="shared" si="3"/>
        <v>327</v>
      </c>
    </row>
    <row r="16" spans="1:15">
      <c r="A16" s="6">
        <v>45142</v>
      </c>
      <c r="B16" s="5" t="s">
        <v>67</v>
      </c>
      <c r="C16" s="5" t="s">
        <v>60</v>
      </c>
      <c r="D16" s="5">
        <v>0</v>
      </c>
      <c r="E16" s="5">
        <v>0</v>
      </c>
      <c r="F16" s="5">
        <v>0</v>
      </c>
      <c r="G16" s="5">
        <v>0</v>
      </c>
      <c r="H16" s="5">
        <f t="shared" si="9"/>
        <v>0</v>
      </c>
      <c r="I16" s="5">
        <f t="shared" si="10"/>
        <v>0</v>
      </c>
      <c r="J16" s="7">
        <f t="shared" si="11"/>
        <v>0</v>
      </c>
      <c r="K16" s="7">
        <f t="shared" si="12"/>
        <v>0</v>
      </c>
      <c r="L16" s="7">
        <v>230</v>
      </c>
      <c r="M16" s="8">
        <f t="shared" si="3"/>
        <v>230</v>
      </c>
    </row>
    <row r="17" spans="1:13">
      <c r="A17" s="6">
        <v>45173</v>
      </c>
      <c r="B17" s="5" t="s">
        <v>67</v>
      </c>
      <c r="C17" s="5" t="s">
        <v>60</v>
      </c>
      <c r="D17" s="5">
        <v>0</v>
      </c>
      <c r="E17" s="5">
        <v>0</v>
      </c>
      <c r="F17" s="5">
        <v>0</v>
      </c>
      <c r="G17" s="5">
        <v>0</v>
      </c>
      <c r="H17" s="5">
        <f t="shared" si="9"/>
        <v>0</v>
      </c>
      <c r="I17" s="5">
        <f t="shared" si="10"/>
        <v>0</v>
      </c>
      <c r="J17" s="7">
        <f t="shared" si="11"/>
        <v>0</v>
      </c>
      <c r="K17" s="7">
        <f t="shared" si="12"/>
        <v>0</v>
      </c>
      <c r="L17" s="7">
        <v>230</v>
      </c>
      <c r="M17" s="8">
        <f t="shared" si="3"/>
        <v>230</v>
      </c>
    </row>
    <row r="18" spans="1:13">
      <c r="A18" s="6">
        <v>45203</v>
      </c>
      <c r="B18" s="5" t="s">
        <v>67</v>
      </c>
      <c r="C18" s="5" t="s">
        <v>60</v>
      </c>
      <c r="D18" s="5">
        <v>126</v>
      </c>
      <c r="E18" s="5">
        <v>124</v>
      </c>
      <c r="F18" s="5">
        <v>4947</v>
      </c>
      <c r="G18" s="5">
        <v>4860</v>
      </c>
      <c r="H18" s="5">
        <f t="shared" si="9"/>
        <v>2</v>
      </c>
      <c r="I18" s="5">
        <f t="shared" si="10"/>
        <v>87</v>
      </c>
      <c r="J18" s="7">
        <f t="shared" si="11"/>
        <v>7</v>
      </c>
      <c r="K18" s="7">
        <f>I18*1</f>
        <v>87</v>
      </c>
      <c r="L18" s="7">
        <v>230</v>
      </c>
      <c r="M18" s="8">
        <f t="shared" si="3"/>
        <v>324</v>
      </c>
    </row>
    <row r="19" spans="1:13">
      <c r="A19" s="6">
        <v>45234</v>
      </c>
      <c r="B19" s="5" t="s">
        <v>67</v>
      </c>
      <c r="C19" s="5" t="s">
        <v>60</v>
      </c>
      <c r="D19" s="5">
        <v>128</v>
      </c>
      <c r="E19" s="5">
        <v>126</v>
      </c>
      <c r="F19" s="5">
        <v>4967</v>
      </c>
      <c r="G19" s="5">
        <v>4947</v>
      </c>
      <c r="H19" s="5">
        <f t="shared" si="9"/>
        <v>2</v>
      </c>
      <c r="I19" s="5">
        <f t="shared" si="10"/>
        <v>20</v>
      </c>
      <c r="J19" s="7">
        <f t="shared" si="11"/>
        <v>7</v>
      </c>
      <c r="K19" s="7">
        <f t="shared" ref="K19:K23" si="13">I19*1</f>
        <v>20</v>
      </c>
      <c r="L19" s="7">
        <v>230</v>
      </c>
      <c r="M19" s="8">
        <f t="shared" si="3"/>
        <v>257</v>
      </c>
    </row>
    <row r="20" spans="1:13">
      <c r="A20" s="6">
        <v>45264</v>
      </c>
      <c r="B20" s="5" t="s">
        <v>67</v>
      </c>
      <c r="C20" s="5" t="s">
        <v>60</v>
      </c>
      <c r="D20" s="5">
        <v>0</v>
      </c>
      <c r="E20" s="5">
        <v>0</v>
      </c>
      <c r="F20" s="5">
        <v>0</v>
      </c>
      <c r="G20" s="5">
        <v>0</v>
      </c>
      <c r="H20" s="5">
        <f t="shared" si="9"/>
        <v>0</v>
      </c>
      <c r="I20" s="5">
        <f t="shared" si="10"/>
        <v>0</v>
      </c>
      <c r="J20" s="7">
        <f t="shared" si="11"/>
        <v>0</v>
      </c>
      <c r="K20" s="7">
        <f t="shared" si="13"/>
        <v>0</v>
      </c>
      <c r="L20" s="7">
        <v>230</v>
      </c>
      <c r="M20" s="8">
        <f t="shared" si="3"/>
        <v>230</v>
      </c>
    </row>
    <row r="21" spans="1:13">
      <c r="A21" s="6">
        <v>45295</v>
      </c>
      <c r="B21" s="5" t="s">
        <v>67</v>
      </c>
      <c r="C21" s="5" t="s">
        <v>60</v>
      </c>
      <c r="D21" s="5">
        <v>132</v>
      </c>
      <c r="E21" s="5">
        <v>128</v>
      </c>
      <c r="F21" s="5">
        <v>4994</v>
      </c>
      <c r="G21" s="5">
        <v>4967</v>
      </c>
      <c r="H21" s="5">
        <f t="shared" si="9"/>
        <v>4</v>
      </c>
      <c r="I21" s="5">
        <f t="shared" si="10"/>
        <v>27</v>
      </c>
      <c r="J21" s="7">
        <f t="shared" si="11"/>
        <v>14</v>
      </c>
      <c r="K21" s="7">
        <f t="shared" si="13"/>
        <v>27</v>
      </c>
      <c r="L21" s="7">
        <v>230</v>
      </c>
      <c r="M21" s="8">
        <f t="shared" si="3"/>
        <v>271</v>
      </c>
    </row>
    <row r="22" spans="1:13">
      <c r="A22" s="6">
        <v>45326</v>
      </c>
      <c r="B22" s="5" t="s">
        <v>67</v>
      </c>
      <c r="C22" s="5" t="s">
        <v>60</v>
      </c>
      <c r="D22" s="5">
        <v>0</v>
      </c>
      <c r="E22" s="5">
        <v>0</v>
      </c>
      <c r="F22" s="5">
        <v>5003</v>
      </c>
      <c r="G22" s="5">
        <v>4994</v>
      </c>
      <c r="H22" s="5">
        <f t="shared" si="9"/>
        <v>0</v>
      </c>
      <c r="I22" s="5">
        <f t="shared" si="10"/>
        <v>9</v>
      </c>
      <c r="J22" s="7">
        <f t="shared" si="11"/>
        <v>0</v>
      </c>
      <c r="K22" s="7">
        <f t="shared" si="13"/>
        <v>9</v>
      </c>
      <c r="L22" s="7">
        <v>230</v>
      </c>
      <c r="M22" s="8">
        <f t="shared" si="3"/>
        <v>239</v>
      </c>
    </row>
    <row r="23" spans="1:13">
      <c r="A23" s="6">
        <v>45355</v>
      </c>
      <c r="B23" s="5" t="s">
        <v>67</v>
      </c>
      <c r="C23" s="5" t="s">
        <v>60</v>
      </c>
      <c r="D23" s="5">
        <v>0</v>
      </c>
      <c r="E23" s="5">
        <v>0</v>
      </c>
      <c r="F23" s="5">
        <v>5014</v>
      </c>
      <c r="G23" s="5">
        <v>5003</v>
      </c>
      <c r="H23" s="5">
        <f t="shared" si="9"/>
        <v>0</v>
      </c>
      <c r="I23" s="5">
        <f t="shared" si="10"/>
        <v>11</v>
      </c>
      <c r="J23" s="7">
        <f t="shared" si="11"/>
        <v>0</v>
      </c>
      <c r="K23" s="7">
        <f t="shared" si="13"/>
        <v>11</v>
      </c>
      <c r="L23" s="7">
        <v>230</v>
      </c>
      <c r="M23" s="8">
        <f t="shared" si="3"/>
        <v>241</v>
      </c>
    </row>
    <row r="24" spans="1:13">
      <c r="A24" s="6">
        <v>45386</v>
      </c>
      <c r="B24" s="5" t="s">
        <v>12</v>
      </c>
      <c r="C24" s="5" t="s">
        <v>60</v>
      </c>
      <c r="D24" s="5">
        <v>135</v>
      </c>
      <c r="E24" s="5">
        <v>132</v>
      </c>
      <c r="F24" s="5">
        <v>5027</v>
      </c>
      <c r="G24" s="5">
        <v>5014</v>
      </c>
      <c r="H24" s="5">
        <f t="shared" ref="H24:H48" si="14">D24-E24</f>
        <v>3</v>
      </c>
      <c r="I24" s="5">
        <f t="shared" ref="I24:I48" si="15">F24-G24</f>
        <v>13</v>
      </c>
      <c r="J24" s="7">
        <f t="shared" ref="J24:J48" si="16">H24*3.5</f>
        <v>10.5</v>
      </c>
      <c r="K24" s="7">
        <f t="shared" ref="K24:K48" si="17">I24*1</f>
        <v>13</v>
      </c>
      <c r="L24" s="7">
        <v>230</v>
      </c>
      <c r="M24" s="8">
        <f t="shared" ref="M24:M48" si="18">J24+K24+L24</f>
        <v>253.5</v>
      </c>
    </row>
    <row r="25" spans="1:13">
      <c r="A25" s="6">
        <v>45416</v>
      </c>
      <c r="B25" s="5" t="s">
        <v>12</v>
      </c>
      <c r="C25" s="5" t="s">
        <v>60</v>
      </c>
      <c r="D25" s="5">
        <v>136</v>
      </c>
      <c r="E25" s="5">
        <v>135</v>
      </c>
      <c r="F25" s="5">
        <v>5039</v>
      </c>
      <c r="G25" s="5">
        <v>5027</v>
      </c>
      <c r="H25" s="5">
        <f t="shared" si="14"/>
        <v>1</v>
      </c>
      <c r="I25" s="5">
        <f t="shared" si="15"/>
        <v>12</v>
      </c>
      <c r="J25" s="7">
        <f t="shared" si="16"/>
        <v>3.5</v>
      </c>
      <c r="K25" s="7">
        <f t="shared" si="17"/>
        <v>12</v>
      </c>
      <c r="L25" s="7">
        <v>230</v>
      </c>
      <c r="M25" s="8">
        <f t="shared" si="18"/>
        <v>245.5</v>
      </c>
    </row>
    <row r="26" spans="1:13">
      <c r="A26" s="6">
        <v>45447</v>
      </c>
      <c r="B26" s="5" t="s">
        <v>12</v>
      </c>
      <c r="C26" s="5" t="s">
        <v>60</v>
      </c>
      <c r="D26" s="5">
        <v>137</v>
      </c>
      <c r="E26" s="5">
        <v>136</v>
      </c>
      <c r="F26" s="5">
        <v>5054</v>
      </c>
      <c r="G26" s="5">
        <v>5039</v>
      </c>
      <c r="H26" s="5">
        <f t="shared" si="14"/>
        <v>1</v>
      </c>
      <c r="I26" s="5">
        <f t="shared" si="15"/>
        <v>15</v>
      </c>
      <c r="J26" s="7">
        <f t="shared" si="16"/>
        <v>3.5</v>
      </c>
      <c r="K26" s="7">
        <f t="shared" si="17"/>
        <v>15</v>
      </c>
      <c r="L26" s="7">
        <v>230</v>
      </c>
      <c r="M26" s="8">
        <f t="shared" si="18"/>
        <v>248.5</v>
      </c>
    </row>
    <row r="27" spans="1:13">
      <c r="A27" s="6">
        <v>45477</v>
      </c>
      <c r="B27" s="5" t="s">
        <v>12</v>
      </c>
      <c r="C27" s="5" t="s">
        <v>60</v>
      </c>
      <c r="D27" s="5">
        <v>138</v>
      </c>
      <c r="E27" s="5">
        <v>137</v>
      </c>
      <c r="F27" s="5">
        <v>5124</v>
      </c>
      <c r="G27" s="5">
        <v>5054</v>
      </c>
      <c r="H27" s="5">
        <f t="shared" si="14"/>
        <v>1</v>
      </c>
      <c r="I27" s="5">
        <f t="shared" si="15"/>
        <v>70</v>
      </c>
      <c r="J27" s="7">
        <f t="shared" si="16"/>
        <v>3.5</v>
      </c>
      <c r="K27" s="7">
        <f t="shared" si="17"/>
        <v>70</v>
      </c>
      <c r="L27" s="7">
        <v>230</v>
      </c>
      <c r="M27" s="8">
        <f t="shared" si="18"/>
        <v>303.5</v>
      </c>
    </row>
    <row r="28" spans="1:13">
      <c r="A28" s="6">
        <v>45508</v>
      </c>
      <c r="B28" s="5" t="s">
        <v>12</v>
      </c>
      <c r="C28" s="5" t="s">
        <v>60</v>
      </c>
      <c r="D28" s="5">
        <v>140</v>
      </c>
      <c r="E28" s="5">
        <v>138</v>
      </c>
      <c r="F28" s="5">
        <v>5314</v>
      </c>
      <c r="G28" s="5">
        <v>5124</v>
      </c>
      <c r="H28" s="5">
        <f t="shared" si="14"/>
        <v>2</v>
      </c>
      <c r="I28" s="5">
        <f t="shared" si="15"/>
        <v>190</v>
      </c>
      <c r="J28" s="7">
        <f t="shared" si="16"/>
        <v>7</v>
      </c>
      <c r="K28" s="7">
        <f t="shared" si="17"/>
        <v>190</v>
      </c>
      <c r="L28" s="7">
        <v>230</v>
      </c>
      <c r="M28" s="8">
        <f t="shared" si="18"/>
        <v>427</v>
      </c>
    </row>
    <row r="29" spans="1:13">
      <c r="A29" s="6">
        <v>45539</v>
      </c>
      <c r="B29" s="5" t="s">
        <v>12</v>
      </c>
      <c r="C29" s="5" t="s">
        <v>60</v>
      </c>
      <c r="D29" s="5">
        <v>141</v>
      </c>
      <c r="E29" s="5">
        <v>140</v>
      </c>
      <c r="F29" s="5">
        <v>5338</v>
      </c>
      <c r="G29" s="5">
        <v>5314</v>
      </c>
      <c r="H29" s="5">
        <f t="shared" si="14"/>
        <v>1</v>
      </c>
      <c r="I29" s="5">
        <f t="shared" si="15"/>
        <v>24</v>
      </c>
      <c r="J29" s="7">
        <f t="shared" si="16"/>
        <v>3.5</v>
      </c>
      <c r="K29" s="7">
        <f t="shared" si="17"/>
        <v>24</v>
      </c>
      <c r="L29" s="7">
        <v>230</v>
      </c>
      <c r="M29" s="8">
        <f t="shared" si="18"/>
        <v>257.5</v>
      </c>
    </row>
    <row r="30" spans="1:13">
      <c r="A30" s="6">
        <v>45569</v>
      </c>
      <c r="B30" s="5" t="s">
        <v>12</v>
      </c>
      <c r="C30" s="5" t="s">
        <v>60</v>
      </c>
      <c r="D30" s="5">
        <v>145</v>
      </c>
      <c r="E30" s="5">
        <v>141</v>
      </c>
      <c r="F30" s="5">
        <v>5394</v>
      </c>
      <c r="G30" s="5">
        <v>5338</v>
      </c>
      <c r="H30" s="5">
        <f t="shared" si="14"/>
        <v>4</v>
      </c>
      <c r="I30" s="5">
        <f t="shared" si="15"/>
        <v>56</v>
      </c>
      <c r="J30" s="7">
        <f t="shared" si="16"/>
        <v>14</v>
      </c>
      <c r="K30" s="7">
        <f t="shared" si="17"/>
        <v>56</v>
      </c>
      <c r="L30" s="7">
        <v>230</v>
      </c>
      <c r="M30" s="8">
        <f t="shared" si="18"/>
        <v>300</v>
      </c>
    </row>
    <row r="31" spans="1:13">
      <c r="A31" s="6">
        <v>45600</v>
      </c>
      <c r="B31" s="5" t="s">
        <v>12</v>
      </c>
      <c r="C31" s="5" t="s">
        <v>60</v>
      </c>
      <c r="D31" s="5">
        <v>146</v>
      </c>
      <c r="E31" s="5">
        <v>145</v>
      </c>
      <c r="F31" s="5">
        <v>5407</v>
      </c>
      <c r="G31" s="5">
        <v>5394</v>
      </c>
      <c r="H31" s="5">
        <f t="shared" si="14"/>
        <v>1</v>
      </c>
      <c r="I31" s="5">
        <f t="shared" si="15"/>
        <v>13</v>
      </c>
      <c r="J31" s="7">
        <f t="shared" si="16"/>
        <v>3.5</v>
      </c>
      <c r="K31" s="7">
        <f t="shared" si="17"/>
        <v>13</v>
      </c>
      <c r="L31" s="7">
        <v>230</v>
      </c>
      <c r="M31" s="8">
        <f t="shared" si="18"/>
        <v>246.5</v>
      </c>
    </row>
    <row r="32" spans="1:13">
      <c r="A32" s="6">
        <v>45630</v>
      </c>
      <c r="B32" s="5" t="s">
        <v>12</v>
      </c>
      <c r="C32" s="5" t="s">
        <v>60</v>
      </c>
      <c r="D32" s="5">
        <v>147</v>
      </c>
      <c r="E32" s="5">
        <v>146</v>
      </c>
      <c r="F32" s="5">
        <v>5415</v>
      </c>
      <c r="G32" s="5">
        <v>5407</v>
      </c>
      <c r="H32" s="5">
        <f t="shared" si="14"/>
        <v>1</v>
      </c>
      <c r="I32" s="5">
        <f t="shared" si="15"/>
        <v>8</v>
      </c>
      <c r="J32" s="7">
        <f t="shared" si="16"/>
        <v>3.5</v>
      </c>
      <c r="K32" s="7">
        <f t="shared" si="17"/>
        <v>8</v>
      </c>
      <c r="L32" s="7">
        <v>230</v>
      </c>
      <c r="M32" s="8">
        <f t="shared" si="18"/>
        <v>241.5</v>
      </c>
    </row>
    <row r="33" spans="1:15">
      <c r="A33" s="6">
        <v>45672</v>
      </c>
      <c r="B33" s="5" t="s">
        <v>12</v>
      </c>
      <c r="C33" s="5" t="s">
        <v>60</v>
      </c>
      <c r="D33" s="5">
        <v>148</v>
      </c>
      <c r="E33" s="5">
        <v>147</v>
      </c>
      <c r="F33" s="5">
        <v>5432</v>
      </c>
      <c r="G33" s="5">
        <v>5415</v>
      </c>
      <c r="H33" s="5">
        <f t="shared" si="14"/>
        <v>1</v>
      </c>
      <c r="I33" s="5">
        <f t="shared" si="15"/>
        <v>17</v>
      </c>
      <c r="J33" s="7">
        <f t="shared" si="16"/>
        <v>3.5</v>
      </c>
      <c r="K33" s="7">
        <f t="shared" si="17"/>
        <v>17</v>
      </c>
      <c r="L33" s="7">
        <v>240</v>
      </c>
      <c r="M33" s="8">
        <f t="shared" si="18"/>
        <v>260.5</v>
      </c>
      <c r="O33" s="5" t="s">
        <v>61</v>
      </c>
    </row>
    <row r="34" spans="1:15">
      <c r="A34" s="6">
        <v>45703</v>
      </c>
      <c r="B34" s="5" t="s">
        <v>12</v>
      </c>
      <c r="C34" s="5" t="s">
        <v>60</v>
      </c>
      <c r="D34" s="5">
        <v>149</v>
      </c>
      <c r="E34" s="5">
        <v>148</v>
      </c>
      <c r="F34" s="5">
        <v>5441</v>
      </c>
      <c r="G34" s="5">
        <v>5432</v>
      </c>
      <c r="H34" s="5">
        <f t="shared" si="14"/>
        <v>1</v>
      </c>
      <c r="I34" s="5">
        <f t="shared" si="15"/>
        <v>9</v>
      </c>
      <c r="J34" s="7">
        <f t="shared" si="16"/>
        <v>3.5</v>
      </c>
      <c r="K34" s="7">
        <f t="shared" si="17"/>
        <v>9</v>
      </c>
      <c r="L34" s="7">
        <v>240</v>
      </c>
      <c r="M34" s="8">
        <f t="shared" si="18"/>
        <v>252.5</v>
      </c>
    </row>
    <row r="35" spans="1:15">
      <c r="A35" s="6">
        <v>45731</v>
      </c>
      <c r="B35" s="5" t="s">
        <v>12</v>
      </c>
      <c r="C35" s="5" t="s">
        <v>60</v>
      </c>
      <c r="D35" s="5">
        <v>156</v>
      </c>
      <c r="E35" s="5">
        <v>149</v>
      </c>
      <c r="F35" s="5">
        <v>5469</v>
      </c>
      <c r="G35" s="5">
        <v>5441</v>
      </c>
      <c r="H35" s="5">
        <f t="shared" si="14"/>
        <v>7</v>
      </c>
      <c r="I35" s="5">
        <f t="shared" si="15"/>
        <v>28</v>
      </c>
      <c r="J35" s="7">
        <f t="shared" si="16"/>
        <v>24.5</v>
      </c>
      <c r="K35" s="7">
        <f t="shared" si="17"/>
        <v>28</v>
      </c>
      <c r="L35" s="7">
        <v>240</v>
      </c>
      <c r="M35" s="8">
        <f t="shared" si="18"/>
        <v>292.5</v>
      </c>
    </row>
    <row r="36" spans="1:15">
      <c r="A36" s="6">
        <v>45762</v>
      </c>
      <c r="B36" s="5" t="s">
        <v>12</v>
      </c>
      <c r="C36" s="5" t="s">
        <v>60</v>
      </c>
      <c r="D36" s="5">
        <v>157</v>
      </c>
      <c r="E36" s="5">
        <v>156</v>
      </c>
      <c r="F36" s="5">
        <v>5484</v>
      </c>
      <c r="G36" s="5">
        <v>5469</v>
      </c>
      <c r="H36" s="5">
        <f t="shared" si="14"/>
        <v>1</v>
      </c>
      <c r="I36" s="5">
        <f t="shared" si="15"/>
        <v>15</v>
      </c>
      <c r="J36" s="7">
        <f t="shared" si="16"/>
        <v>3.5</v>
      </c>
      <c r="K36" s="7">
        <f t="shared" si="17"/>
        <v>15</v>
      </c>
      <c r="L36" s="7">
        <v>240</v>
      </c>
      <c r="M36" s="8">
        <f t="shared" si="18"/>
        <v>258.5</v>
      </c>
    </row>
    <row r="37" spans="1:15">
      <c r="A37" s="6">
        <v>45792</v>
      </c>
      <c r="B37" s="5" t="s">
        <v>12</v>
      </c>
      <c r="C37" s="5" t="s">
        <v>60</v>
      </c>
      <c r="D37" s="5">
        <v>167</v>
      </c>
      <c r="E37" s="5">
        <v>157</v>
      </c>
      <c r="F37" s="5">
        <v>5490</v>
      </c>
      <c r="G37" s="5">
        <v>5484</v>
      </c>
      <c r="H37" s="5">
        <f t="shared" si="14"/>
        <v>10</v>
      </c>
      <c r="I37" s="5">
        <f t="shared" si="15"/>
        <v>6</v>
      </c>
      <c r="J37" s="7">
        <f t="shared" si="16"/>
        <v>35</v>
      </c>
      <c r="K37" s="7">
        <f t="shared" si="17"/>
        <v>6</v>
      </c>
      <c r="L37" s="7">
        <v>240</v>
      </c>
      <c r="M37" s="8">
        <f t="shared" si="18"/>
        <v>281</v>
      </c>
    </row>
    <row r="38" spans="1:15" ht="20">
      <c r="A38" s="6">
        <v>45792</v>
      </c>
      <c r="B38" s="5" t="s">
        <v>12</v>
      </c>
      <c r="C38" s="5" t="s">
        <v>60</v>
      </c>
      <c r="D38" s="5">
        <v>0</v>
      </c>
      <c r="E38" s="5">
        <v>0</v>
      </c>
      <c r="F38" s="1">
        <v>21</v>
      </c>
      <c r="G38" s="5">
        <v>0</v>
      </c>
      <c r="H38" s="5">
        <f t="shared" si="14"/>
        <v>0</v>
      </c>
      <c r="I38" s="5">
        <f t="shared" si="15"/>
        <v>21</v>
      </c>
      <c r="J38" s="7">
        <f t="shared" si="16"/>
        <v>0</v>
      </c>
      <c r="K38" s="7">
        <f t="shared" si="17"/>
        <v>21</v>
      </c>
      <c r="L38" s="7">
        <v>0</v>
      </c>
      <c r="M38" s="8">
        <f t="shared" si="18"/>
        <v>21</v>
      </c>
      <c r="O38" s="5" t="s">
        <v>158</v>
      </c>
    </row>
    <row r="39" spans="1:15">
      <c r="A39" s="6">
        <v>45823</v>
      </c>
      <c r="B39" s="5" t="s">
        <v>12</v>
      </c>
      <c r="C39" s="5" t="s">
        <v>60</v>
      </c>
      <c r="D39" s="5">
        <v>169</v>
      </c>
      <c r="E39" s="5">
        <v>167</v>
      </c>
      <c r="F39" s="5">
        <v>121</v>
      </c>
      <c r="G39" s="5">
        <v>21</v>
      </c>
      <c r="H39" s="5">
        <f t="shared" si="14"/>
        <v>2</v>
      </c>
      <c r="I39" s="5">
        <f t="shared" si="15"/>
        <v>100</v>
      </c>
      <c r="J39" s="7">
        <f t="shared" si="16"/>
        <v>7</v>
      </c>
      <c r="K39" s="7">
        <f t="shared" si="17"/>
        <v>100</v>
      </c>
      <c r="L39" s="7">
        <v>240</v>
      </c>
      <c r="M39" s="8">
        <f t="shared" si="18"/>
        <v>347</v>
      </c>
    </row>
    <row r="40" spans="1:15">
      <c r="A40" s="6">
        <v>45853</v>
      </c>
      <c r="B40" s="5" t="s">
        <v>67</v>
      </c>
      <c r="C40" s="5" t="s">
        <v>60</v>
      </c>
      <c r="D40" s="5">
        <v>170</v>
      </c>
      <c r="E40" s="5">
        <v>169</v>
      </c>
      <c r="F40" s="5">
        <v>304</v>
      </c>
      <c r="G40" s="5">
        <v>121</v>
      </c>
      <c r="H40" s="5">
        <f t="shared" si="14"/>
        <v>1</v>
      </c>
      <c r="I40" s="5">
        <f t="shared" si="15"/>
        <v>183</v>
      </c>
      <c r="J40" s="7">
        <f t="shared" si="16"/>
        <v>3.5</v>
      </c>
      <c r="K40" s="7">
        <f t="shared" si="17"/>
        <v>183</v>
      </c>
      <c r="L40" s="7">
        <v>240</v>
      </c>
      <c r="M40" s="8">
        <f t="shared" si="18"/>
        <v>426.5</v>
      </c>
    </row>
    <row r="41" spans="1:15">
      <c r="A41" s="6">
        <v>45884</v>
      </c>
      <c r="B41" s="5" t="s">
        <v>264</v>
      </c>
      <c r="C41" s="5" t="s">
        <v>60</v>
      </c>
      <c r="D41" s="5">
        <v>175</v>
      </c>
      <c r="E41" s="5">
        <v>170</v>
      </c>
      <c r="F41" s="5">
        <v>470</v>
      </c>
      <c r="G41" s="5">
        <v>304</v>
      </c>
      <c r="H41" s="5">
        <f t="shared" si="14"/>
        <v>5</v>
      </c>
      <c r="I41" s="5">
        <f t="shared" si="15"/>
        <v>166</v>
      </c>
      <c r="J41" s="7">
        <f t="shared" si="16"/>
        <v>17.5</v>
      </c>
      <c r="K41" s="7">
        <f t="shared" si="17"/>
        <v>166</v>
      </c>
      <c r="L41" s="7">
        <v>240</v>
      </c>
      <c r="M41" s="8">
        <f t="shared" si="18"/>
        <v>423.5</v>
      </c>
    </row>
    <row r="42" spans="1:15">
      <c r="A42" s="6">
        <v>45915</v>
      </c>
      <c r="B42" s="5" t="s">
        <v>67</v>
      </c>
      <c r="C42" s="5" t="s">
        <v>60</v>
      </c>
      <c r="D42" s="5">
        <v>176</v>
      </c>
      <c r="E42" s="5">
        <v>175</v>
      </c>
      <c r="F42" s="5">
        <v>626</v>
      </c>
      <c r="G42" s="5">
        <v>470</v>
      </c>
      <c r="H42" s="5">
        <f t="shared" si="14"/>
        <v>1</v>
      </c>
      <c r="I42" s="5">
        <f t="shared" si="15"/>
        <v>156</v>
      </c>
      <c r="J42" s="7">
        <f t="shared" si="16"/>
        <v>3.5</v>
      </c>
      <c r="K42" s="7">
        <f t="shared" si="17"/>
        <v>156</v>
      </c>
      <c r="L42" s="7">
        <v>240</v>
      </c>
      <c r="M42" s="8">
        <f t="shared" si="18"/>
        <v>399.5</v>
      </c>
    </row>
    <row r="43" spans="1:15">
      <c r="A43" s="6">
        <v>45945</v>
      </c>
      <c r="B43" s="5" t="s">
        <v>67</v>
      </c>
      <c r="C43" s="5" t="s">
        <v>60</v>
      </c>
      <c r="D43" s="5">
        <v>177</v>
      </c>
      <c r="E43" s="5">
        <v>176</v>
      </c>
      <c r="F43" s="5">
        <v>770</v>
      </c>
      <c r="G43" s="5">
        <v>626</v>
      </c>
      <c r="H43" s="5">
        <f t="shared" si="14"/>
        <v>1</v>
      </c>
      <c r="I43" s="5">
        <f t="shared" si="15"/>
        <v>144</v>
      </c>
      <c r="J43" s="7">
        <f t="shared" si="16"/>
        <v>3.5</v>
      </c>
      <c r="K43" s="7">
        <f t="shared" si="17"/>
        <v>144</v>
      </c>
      <c r="L43" s="7">
        <v>240</v>
      </c>
      <c r="M43" s="8">
        <f t="shared" si="18"/>
        <v>387.5</v>
      </c>
    </row>
    <row r="44" spans="1:15">
      <c r="A44" s="6">
        <v>45976</v>
      </c>
      <c r="B44" s="5" t="s">
        <v>67</v>
      </c>
      <c r="C44" s="5" t="s">
        <v>60</v>
      </c>
      <c r="D44" s="5">
        <v>178</v>
      </c>
      <c r="E44" s="5">
        <v>177</v>
      </c>
      <c r="F44" s="5">
        <v>829</v>
      </c>
      <c r="G44" s="5">
        <v>770</v>
      </c>
      <c r="H44" s="5">
        <f t="shared" si="14"/>
        <v>1</v>
      </c>
      <c r="I44" s="5">
        <f t="shared" si="15"/>
        <v>59</v>
      </c>
      <c r="J44" s="7">
        <f t="shared" si="16"/>
        <v>3.5</v>
      </c>
      <c r="K44" s="7">
        <f t="shared" si="17"/>
        <v>59</v>
      </c>
      <c r="L44" s="7">
        <v>240</v>
      </c>
      <c r="M44" s="8">
        <f t="shared" si="18"/>
        <v>302.5</v>
      </c>
    </row>
    <row r="45" spans="1:15">
      <c r="A45" s="6">
        <v>46006</v>
      </c>
      <c r="B45" s="5" t="s">
        <v>67</v>
      </c>
      <c r="C45" s="5" t="s">
        <v>293</v>
      </c>
      <c r="D45" s="5">
        <v>181</v>
      </c>
      <c r="E45" s="5">
        <v>178</v>
      </c>
      <c r="F45" s="5">
        <v>868</v>
      </c>
      <c r="G45" s="5">
        <v>829</v>
      </c>
      <c r="H45" s="5">
        <f t="shared" si="14"/>
        <v>3</v>
      </c>
      <c r="I45" s="5">
        <f t="shared" si="15"/>
        <v>39</v>
      </c>
      <c r="J45" s="7">
        <f t="shared" si="16"/>
        <v>10.5</v>
      </c>
      <c r="K45" s="7">
        <f t="shared" si="17"/>
        <v>39</v>
      </c>
      <c r="L45" s="7">
        <v>240</v>
      </c>
      <c r="M45" s="8">
        <f t="shared" si="18"/>
        <v>289.5</v>
      </c>
      <c r="O45" s="5" t="s">
        <v>294</v>
      </c>
    </row>
    <row r="46" spans="1:15">
      <c r="A46" s="6">
        <v>46037</v>
      </c>
      <c r="B46" s="5" t="s">
        <v>67</v>
      </c>
      <c r="C46" s="5" t="s">
        <v>293</v>
      </c>
      <c r="D46" s="5">
        <v>182</v>
      </c>
      <c r="E46" s="5">
        <v>181</v>
      </c>
      <c r="F46" s="5">
        <v>947</v>
      </c>
      <c r="G46" s="5">
        <v>868</v>
      </c>
      <c r="H46" s="5">
        <f t="shared" si="14"/>
        <v>1</v>
      </c>
      <c r="I46" s="5">
        <f t="shared" si="15"/>
        <v>79</v>
      </c>
      <c r="J46" s="7">
        <f t="shared" si="16"/>
        <v>3.5</v>
      </c>
      <c r="K46" s="7">
        <f t="shared" si="17"/>
        <v>79</v>
      </c>
      <c r="L46" s="7">
        <v>240</v>
      </c>
      <c r="M46" s="8">
        <f t="shared" si="18"/>
        <v>322.5</v>
      </c>
      <c r="O46" s="5" t="s">
        <v>296</v>
      </c>
    </row>
    <row r="47" spans="1:15">
      <c r="A47" s="6">
        <v>46068</v>
      </c>
      <c r="B47" s="5" t="s">
        <v>67</v>
      </c>
      <c r="C47" s="5" t="s">
        <v>293</v>
      </c>
      <c r="D47" s="5">
        <v>184</v>
      </c>
      <c r="E47" s="5">
        <v>182</v>
      </c>
      <c r="F47" s="5">
        <v>1025</v>
      </c>
      <c r="G47" s="5">
        <v>947</v>
      </c>
      <c r="H47" s="5">
        <f t="shared" si="14"/>
        <v>2</v>
      </c>
      <c r="I47" s="5">
        <f t="shared" si="15"/>
        <v>78</v>
      </c>
      <c r="J47" s="7">
        <f t="shared" si="16"/>
        <v>7</v>
      </c>
      <c r="K47" s="7">
        <f t="shared" si="17"/>
        <v>78</v>
      </c>
      <c r="L47" s="7">
        <v>240</v>
      </c>
      <c r="M47" s="8">
        <f t="shared" si="18"/>
        <v>325</v>
      </c>
    </row>
    <row r="48" spans="1:15">
      <c r="A48" s="6">
        <v>46096</v>
      </c>
      <c r="B48" s="5" t="s">
        <v>333</v>
      </c>
      <c r="C48" s="5" t="s">
        <v>334</v>
      </c>
      <c r="D48" s="5">
        <v>185</v>
      </c>
      <c r="E48" s="5">
        <v>184</v>
      </c>
      <c r="F48" s="5">
        <v>1081</v>
      </c>
      <c r="G48" s="5">
        <v>1025</v>
      </c>
      <c r="H48" s="5">
        <f t="shared" si="14"/>
        <v>1</v>
      </c>
      <c r="I48" s="5">
        <f t="shared" si="15"/>
        <v>56</v>
      </c>
      <c r="J48" s="7">
        <f t="shared" si="16"/>
        <v>3.5</v>
      </c>
      <c r="K48" s="7">
        <f t="shared" si="17"/>
        <v>56</v>
      </c>
      <c r="L48" s="7">
        <v>240</v>
      </c>
      <c r="M48" s="8">
        <f t="shared" si="18"/>
        <v>299.5</v>
      </c>
    </row>
    <row r="49" spans="1:13">
      <c r="A49" s="3" t="s">
        <v>108</v>
      </c>
      <c r="B49" s="4" t="s">
        <v>107</v>
      </c>
      <c r="C49" s="4" t="s">
        <v>107</v>
      </c>
      <c r="D49" s="4" t="s">
        <v>107</v>
      </c>
      <c r="E49" s="4" t="s">
        <v>107</v>
      </c>
      <c r="F49" s="4" t="s">
        <v>107</v>
      </c>
      <c r="G49" s="4" t="s">
        <v>107</v>
      </c>
      <c r="H49" s="5">
        <f t="shared" ref="H49:M49" si="19">SUBTOTAL(9,H3:H48)</f>
        <v>88</v>
      </c>
      <c r="I49" s="5">
        <f t="shared" si="19"/>
        <v>2144</v>
      </c>
      <c r="J49" s="7">
        <f t="shared" si="19"/>
        <v>308</v>
      </c>
      <c r="K49" s="7">
        <f t="shared" si="19"/>
        <v>2100.6999999999998</v>
      </c>
      <c r="L49" s="7">
        <f t="shared" si="19"/>
        <v>10385</v>
      </c>
      <c r="M49" s="10">
        <f t="shared" si="19"/>
        <v>12793.7</v>
      </c>
    </row>
  </sheetData>
  <mergeCells count="10">
    <mergeCell ref="L1:L2"/>
    <mergeCell ref="M1:M2"/>
    <mergeCell ref="D1:E1"/>
    <mergeCell ref="F1:G1"/>
    <mergeCell ref="H1:I1"/>
    <mergeCell ref="A1:A2"/>
    <mergeCell ref="B1:B2"/>
    <mergeCell ref="C1:C2"/>
    <mergeCell ref="J1:J2"/>
    <mergeCell ref="K1:K2"/>
  </mergeCells>
  <phoneticPr fontId="1" type="noConversion"/>
  <conditionalFormatting sqref="A1:XFD1048576">
    <cfRule type="cellIs" dxfId="5" priority="1" operator="equal">
      <formula>0</formula>
    </cfRule>
  </conditionalFormatting>
  <conditionalFormatting sqref="N3:N48">
    <cfRule type="cellIs" dxfId="4" priority="2" operator="equal">
      <formula>"完成"</formula>
    </cfRule>
  </conditionalFormatting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O53"/>
  <sheetViews>
    <sheetView topLeftCell="C1" zoomScale="120" zoomScaleNormal="120" workbookViewId="0">
      <pane ySplit="2" topLeftCell="A29" activePane="bottomLeft" state="frozen"/>
      <selection activeCell="F38" sqref="F38"/>
      <selection pane="bottomLeft" activeCell="C54" sqref="C54"/>
    </sheetView>
  </sheetViews>
  <sheetFormatPr baseColWidth="10" defaultColWidth="10.85546875" defaultRowHeight="18"/>
  <cols>
    <col min="1" max="1" width="16.28515625" style="6" bestFit="1" customWidth="1"/>
    <col min="2" max="2" width="9.42578125" style="5" bestFit="1" customWidth="1"/>
    <col min="3" max="3" width="16.285156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1" width="9.85546875" style="7" bestFit="1" customWidth="1"/>
    <col min="12" max="12" width="11.140625" style="7" bestFit="1" customWidth="1"/>
    <col min="13" max="13" width="13.42578125" style="7" bestFit="1" customWidth="1"/>
    <col min="14" max="14" width="9.42578125" style="5" bestFit="1" customWidth="1"/>
    <col min="15" max="15" width="49" style="5" bestFit="1" customWidth="1"/>
    <col min="16" max="16384" width="10.85546875" style="5"/>
  </cols>
  <sheetData>
    <row r="1" spans="1:14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4" t="s">
        <v>25</v>
      </c>
      <c r="N1" s="4" t="s">
        <v>26</v>
      </c>
    </row>
    <row r="2" spans="1:14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4"/>
      <c r="N2" s="4">
        <v>200</v>
      </c>
    </row>
    <row r="3" spans="1:14">
      <c r="A3" s="6">
        <v>44604</v>
      </c>
      <c r="B3" s="5" t="s">
        <v>143</v>
      </c>
      <c r="C3" s="5" t="s">
        <v>144</v>
      </c>
      <c r="D3" s="5">
        <v>0</v>
      </c>
      <c r="E3" s="5">
        <v>0</v>
      </c>
      <c r="F3" s="5">
        <v>4213</v>
      </c>
      <c r="G3" s="5">
        <v>4213</v>
      </c>
      <c r="H3" s="5">
        <f t="shared" ref="H3:H8" si="0">D3-E3</f>
        <v>0</v>
      </c>
      <c r="I3" s="5">
        <f t="shared" ref="I3:I8" si="1">F3-G3</f>
        <v>0</v>
      </c>
      <c r="J3" s="7">
        <f t="shared" ref="J3:J8" si="2">H3*3.5</f>
        <v>0</v>
      </c>
      <c r="K3" s="7">
        <f>I3*0.9</f>
        <v>0</v>
      </c>
      <c r="L3" s="7">
        <v>240</v>
      </c>
      <c r="M3" s="7">
        <f t="shared" ref="M3:M27" si="3">J3+K3+L3</f>
        <v>240</v>
      </c>
    </row>
    <row r="4" spans="1:14">
      <c r="A4" s="6">
        <v>44632</v>
      </c>
      <c r="B4" s="5" t="s">
        <v>143</v>
      </c>
      <c r="C4" s="5" t="s">
        <v>144</v>
      </c>
      <c r="D4" s="5">
        <v>8</v>
      </c>
      <c r="E4" s="5">
        <v>0</v>
      </c>
      <c r="F4" s="5">
        <v>4297</v>
      </c>
      <c r="G4" s="5">
        <v>4213</v>
      </c>
      <c r="H4" s="5">
        <f t="shared" si="0"/>
        <v>8</v>
      </c>
      <c r="I4" s="5">
        <f t="shared" si="1"/>
        <v>84</v>
      </c>
      <c r="J4" s="7">
        <f t="shared" si="2"/>
        <v>28</v>
      </c>
      <c r="K4" s="7">
        <f t="shared" ref="K4:K20" si="4">I4*0.9</f>
        <v>75.600000000000009</v>
      </c>
      <c r="L4" s="7">
        <v>240</v>
      </c>
      <c r="M4" s="7">
        <f t="shared" si="3"/>
        <v>343.6</v>
      </c>
    </row>
    <row r="5" spans="1:14">
      <c r="A5" s="6">
        <v>44663</v>
      </c>
      <c r="B5" s="5" t="s">
        <v>143</v>
      </c>
      <c r="C5" s="5" t="s">
        <v>144</v>
      </c>
      <c r="D5" s="5">
        <v>0</v>
      </c>
      <c r="E5" s="5">
        <v>0</v>
      </c>
      <c r="F5" s="5">
        <v>0</v>
      </c>
      <c r="G5" s="5">
        <v>0</v>
      </c>
      <c r="H5" s="5">
        <f t="shared" si="0"/>
        <v>0</v>
      </c>
      <c r="I5" s="5">
        <f t="shared" si="1"/>
        <v>0</v>
      </c>
      <c r="J5" s="7">
        <f t="shared" si="2"/>
        <v>0</v>
      </c>
      <c r="K5" s="7">
        <f t="shared" si="4"/>
        <v>0</v>
      </c>
      <c r="L5" s="7">
        <v>240</v>
      </c>
      <c r="M5" s="7">
        <f t="shared" si="3"/>
        <v>240</v>
      </c>
    </row>
    <row r="6" spans="1:14">
      <c r="A6" s="6">
        <v>44693</v>
      </c>
      <c r="B6" s="5" t="s">
        <v>143</v>
      </c>
      <c r="C6" s="5" t="s">
        <v>144</v>
      </c>
      <c r="D6" s="5">
        <v>16</v>
      </c>
      <c r="E6" s="5">
        <v>8</v>
      </c>
      <c r="F6" s="5">
        <v>4427</v>
      </c>
      <c r="G6" s="5">
        <v>4297</v>
      </c>
      <c r="H6" s="5">
        <f t="shared" si="0"/>
        <v>8</v>
      </c>
      <c r="I6" s="5">
        <f t="shared" si="1"/>
        <v>130</v>
      </c>
      <c r="J6" s="7">
        <f t="shared" si="2"/>
        <v>28</v>
      </c>
      <c r="K6" s="7">
        <f t="shared" si="4"/>
        <v>117</v>
      </c>
      <c r="L6" s="7">
        <v>240</v>
      </c>
      <c r="M6" s="7">
        <f t="shared" si="3"/>
        <v>385</v>
      </c>
    </row>
    <row r="7" spans="1:14">
      <c r="A7" s="6">
        <v>44724</v>
      </c>
      <c r="B7" s="5" t="s">
        <v>143</v>
      </c>
      <c r="C7" s="5" t="s">
        <v>144</v>
      </c>
      <c r="D7" s="5">
        <v>0</v>
      </c>
      <c r="E7" s="5">
        <v>0</v>
      </c>
      <c r="F7" s="5">
        <v>0</v>
      </c>
      <c r="G7" s="5">
        <v>0</v>
      </c>
      <c r="H7" s="5">
        <f t="shared" si="0"/>
        <v>0</v>
      </c>
      <c r="I7" s="5">
        <f t="shared" si="1"/>
        <v>0</v>
      </c>
      <c r="J7" s="7">
        <f t="shared" si="2"/>
        <v>0</v>
      </c>
      <c r="K7" s="7">
        <f t="shared" si="4"/>
        <v>0</v>
      </c>
      <c r="L7" s="7">
        <v>240</v>
      </c>
      <c r="M7" s="7">
        <f t="shared" si="3"/>
        <v>240</v>
      </c>
    </row>
    <row r="8" spans="1:14">
      <c r="A8" s="6">
        <v>44754</v>
      </c>
      <c r="B8" s="5" t="s">
        <v>143</v>
      </c>
      <c r="C8" s="5" t="s">
        <v>144</v>
      </c>
      <c r="D8" s="5">
        <v>18</v>
      </c>
      <c r="E8" s="5">
        <v>16</v>
      </c>
      <c r="F8" s="5">
        <v>4579</v>
      </c>
      <c r="G8" s="5">
        <v>4427</v>
      </c>
      <c r="H8" s="5">
        <f t="shared" si="0"/>
        <v>2</v>
      </c>
      <c r="I8" s="5">
        <f t="shared" si="1"/>
        <v>152</v>
      </c>
      <c r="J8" s="7">
        <f t="shared" si="2"/>
        <v>7</v>
      </c>
      <c r="K8" s="7">
        <f t="shared" si="4"/>
        <v>136.80000000000001</v>
      </c>
      <c r="L8" s="7">
        <v>240</v>
      </c>
      <c r="M8" s="7">
        <f t="shared" si="3"/>
        <v>383.8</v>
      </c>
    </row>
    <row r="9" spans="1:14">
      <c r="A9" s="6">
        <v>44808</v>
      </c>
      <c r="B9" s="5" t="s">
        <v>80</v>
      </c>
      <c r="C9" s="5" t="s">
        <v>157</v>
      </c>
      <c r="D9" s="5">
        <v>18</v>
      </c>
      <c r="E9" s="5">
        <v>18</v>
      </c>
      <c r="F9" s="5">
        <v>4579</v>
      </c>
      <c r="G9" s="5">
        <v>4579</v>
      </c>
      <c r="H9" s="5">
        <f t="shared" ref="H9" si="5">D9-E9</f>
        <v>0</v>
      </c>
      <c r="I9" s="5">
        <f t="shared" ref="I9" si="6">F9-G9</f>
        <v>0</v>
      </c>
      <c r="J9" s="7">
        <f t="shared" ref="J9:J27" si="7">H9*3.5</f>
        <v>0</v>
      </c>
      <c r="K9" s="7">
        <f t="shared" si="4"/>
        <v>0</v>
      </c>
      <c r="L9" s="7">
        <v>240</v>
      </c>
      <c r="M9" s="7">
        <f t="shared" si="3"/>
        <v>240</v>
      </c>
    </row>
    <row r="10" spans="1:14">
      <c r="A10" s="6">
        <v>44838</v>
      </c>
      <c r="B10" s="5" t="s">
        <v>80</v>
      </c>
      <c r="C10" s="5" t="s">
        <v>157</v>
      </c>
      <c r="D10" s="5">
        <v>24</v>
      </c>
      <c r="E10" s="5">
        <v>18</v>
      </c>
      <c r="F10" s="5">
        <v>4861</v>
      </c>
      <c r="G10" s="5">
        <v>4579</v>
      </c>
      <c r="H10" s="5">
        <f t="shared" ref="H10:H28" si="8">D11-E11</f>
        <v>5</v>
      </c>
      <c r="I10" s="5">
        <f t="shared" ref="I10:I28" si="9">F11-G11</f>
        <v>82</v>
      </c>
      <c r="J10" s="7">
        <f t="shared" si="7"/>
        <v>17.5</v>
      </c>
      <c r="K10" s="7">
        <f t="shared" si="4"/>
        <v>73.8</v>
      </c>
      <c r="L10" s="7">
        <v>240</v>
      </c>
      <c r="M10" s="7">
        <f t="shared" si="3"/>
        <v>331.3</v>
      </c>
    </row>
    <row r="11" spans="1:14">
      <c r="A11" s="6">
        <v>44869</v>
      </c>
      <c r="B11" s="5" t="s">
        <v>80</v>
      </c>
      <c r="C11" s="5" t="s">
        <v>157</v>
      </c>
      <c r="D11" s="5">
        <v>29</v>
      </c>
      <c r="E11" s="5">
        <v>24</v>
      </c>
      <c r="F11" s="5">
        <v>4943</v>
      </c>
      <c r="G11" s="5">
        <v>4861</v>
      </c>
      <c r="H11" s="5">
        <f t="shared" si="8"/>
        <v>4</v>
      </c>
      <c r="I11" s="5">
        <f t="shared" si="9"/>
        <v>37</v>
      </c>
      <c r="J11" s="7">
        <f t="shared" si="7"/>
        <v>14</v>
      </c>
      <c r="K11" s="7">
        <f t="shared" si="4"/>
        <v>33.300000000000004</v>
      </c>
      <c r="L11" s="7">
        <v>240</v>
      </c>
      <c r="M11" s="7">
        <f t="shared" si="3"/>
        <v>287.3</v>
      </c>
    </row>
    <row r="12" spans="1:14">
      <c r="A12" s="6">
        <v>44899</v>
      </c>
      <c r="B12" s="5" t="s">
        <v>80</v>
      </c>
      <c r="C12" s="5" t="s">
        <v>157</v>
      </c>
      <c r="D12" s="5">
        <v>33</v>
      </c>
      <c r="E12" s="5">
        <v>29</v>
      </c>
      <c r="F12" s="5">
        <v>4980</v>
      </c>
      <c r="G12" s="5">
        <v>4943</v>
      </c>
      <c r="H12" s="5">
        <f t="shared" si="8"/>
        <v>9</v>
      </c>
      <c r="I12" s="5">
        <f t="shared" si="9"/>
        <v>89</v>
      </c>
      <c r="J12" s="7">
        <f t="shared" si="7"/>
        <v>31.5</v>
      </c>
      <c r="K12" s="7">
        <f t="shared" si="4"/>
        <v>80.100000000000009</v>
      </c>
      <c r="L12" s="7">
        <v>240</v>
      </c>
      <c r="M12" s="7">
        <f t="shared" si="3"/>
        <v>351.6</v>
      </c>
    </row>
    <row r="13" spans="1:14">
      <c r="A13" s="6">
        <v>44930</v>
      </c>
      <c r="B13" s="5" t="s">
        <v>80</v>
      </c>
      <c r="C13" s="5" t="s">
        <v>157</v>
      </c>
      <c r="D13" s="5">
        <v>42</v>
      </c>
      <c r="E13" s="5">
        <v>33</v>
      </c>
      <c r="F13" s="5">
        <v>5069</v>
      </c>
      <c r="G13" s="5">
        <v>4980</v>
      </c>
      <c r="H13" s="5">
        <f t="shared" si="8"/>
        <v>4</v>
      </c>
      <c r="I13" s="5">
        <f t="shared" si="9"/>
        <v>61</v>
      </c>
      <c r="J13" s="7">
        <f t="shared" si="7"/>
        <v>14</v>
      </c>
      <c r="K13" s="7">
        <f t="shared" si="4"/>
        <v>54.9</v>
      </c>
      <c r="L13" s="7">
        <v>240</v>
      </c>
      <c r="M13" s="7">
        <f t="shared" si="3"/>
        <v>308.89999999999998</v>
      </c>
    </row>
    <row r="14" spans="1:14">
      <c r="A14" s="6">
        <v>44961</v>
      </c>
      <c r="B14" s="5" t="s">
        <v>80</v>
      </c>
      <c r="C14" s="5" t="s">
        <v>157</v>
      </c>
      <c r="D14" s="5">
        <v>46</v>
      </c>
      <c r="E14" s="5">
        <v>42</v>
      </c>
      <c r="F14" s="5">
        <v>5130</v>
      </c>
      <c r="G14" s="5">
        <v>5069</v>
      </c>
      <c r="H14" s="5">
        <f t="shared" si="8"/>
        <v>4</v>
      </c>
      <c r="I14" s="5">
        <f t="shared" si="9"/>
        <v>63</v>
      </c>
      <c r="J14" s="7">
        <f t="shared" si="7"/>
        <v>14</v>
      </c>
      <c r="K14" s="7">
        <f t="shared" si="4"/>
        <v>56.7</v>
      </c>
      <c r="L14" s="7">
        <v>240</v>
      </c>
      <c r="M14" s="7">
        <f t="shared" si="3"/>
        <v>310.7</v>
      </c>
    </row>
    <row r="15" spans="1:14">
      <c r="A15" s="6">
        <v>44989</v>
      </c>
      <c r="B15" s="5" t="s">
        <v>80</v>
      </c>
      <c r="C15" s="5" t="s">
        <v>157</v>
      </c>
      <c r="D15" s="5">
        <v>50</v>
      </c>
      <c r="E15" s="5">
        <v>46</v>
      </c>
      <c r="F15" s="5">
        <v>5193</v>
      </c>
      <c r="G15" s="5">
        <v>5130</v>
      </c>
      <c r="H15" s="5">
        <f t="shared" si="8"/>
        <v>8</v>
      </c>
      <c r="I15" s="5">
        <f t="shared" si="9"/>
        <v>69</v>
      </c>
      <c r="J15" s="7">
        <f t="shared" si="7"/>
        <v>28</v>
      </c>
      <c r="K15" s="7">
        <f t="shared" si="4"/>
        <v>62.1</v>
      </c>
      <c r="L15" s="7">
        <v>240</v>
      </c>
      <c r="M15" s="7">
        <f t="shared" si="3"/>
        <v>330.1</v>
      </c>
    </row>
    <row r="16" spans="1:14">
      <c r="A16" s="6">
        <v>45020</v>
      </c>
      <c r="B16" s="5" t="s">
        <v>80</v>
      </c>
      <c r="C16" s="5" t="s">
        <v>157</v>
      </c>
      <c r="D16" s="5">
        <v>58</v>
      </c>
      <c r="E16" s="5">
        <v>50</v>
      </c>
      <c r="F16" s="5">
        <v>5262</v>
      </c>
      <c r="G16" s="5">
        <v>5193</v>
      </c>
      <c r="H16" s="5">
        <f t="shared" si="8"/>
        <v>4</v>
      </c>
      <c r="I16" s="5">
        <f t="shared" si="9"/>
        <v>50</v>
      </c>
      <c r="J16" s="7">
        <f t="shared" si="7"/>
        <v>14</v>
      </c>
      <c r="K16" s="7">
        <f t="shared" si="4"/>
        <v>45</v>
      </c>
      <c r="L16" s="7">
        <v>240</v>
      </c>
      <c r="M16" s="7">
        <f t="shared" si="3"/>
        <v>299</v>
      </c>
    </row>
    <row r="17" spans="1:13">
      <c r="A17" s="6">
        <v>45050</v>
      </c>
      <c r="B17" s="5" t="s">
        <v>80</v>
      </c>
      <c r="C17" s="5" t="s">
        <v>157</v>
      </c>
      <c r="D17" s="5">
        <v>62</v>
      </c>
      <c r="E17" s="5">
        <v>58</v>
      </c>
      <c r="F17" s="5">
        <v>5312</v>
      </c>
      <c r="G17" s="5">
        <v>5262</v>
      </c>
      <c r="H17" s="5">
        <f t="shared" si="8"/>
        <v>10</v>
      </c>
      <c r="I17" s="5">
        <f t="shared" si="9"/>
        <v>39</v>
      </c>
      <c r="J17" s="7">
        <f t="shared" si="7"/>
        <v>35</v>
      </c>
      <c r="K17" s="7">
        <f t="shared" si="4"/>
        <v>35.1</v>
      </c>
      <c r="L17" s="7">
        <v>240</v>
      </c>
      <c r="M17" s="7">
        <f t="shared" si="3"/>
        <v>310.10000000000002</v>
      </c>
    </row>
    <row r="18" spans="1:13">
      <c r="A18" s="6">
        <v>45081</v>
      </c>
      <c r="B18" s="5" t="s">
        <v>80</v>
      </c>
      <c r="C18" s="5" t="s">
        <v>157</v>
      </c>
      <c r="D18" s="5">
        <v>72</v>
      </c>
      <c r="E18" s="5">
        <v>62</v>
      </c>
      <c r="F18" s="5">
        <v>5351</v>
      </c>
      <c r="G18" s="5">
        <v>5312</v>
      </c>
      <c r="H18" s="5">
        <f t="shared" si="8"/>
        <v>7</v>
      </c>
      <c r="I18" s="5">
        <f t="shared" si="9"/>
        <v>153</v>
      </c>
      <c r="J18" s="7">
        <f t="shared" si="7"/>
        <v>24.5</v>
      </c>
      <c r="K18" s="7">
        <f t="shared" si="4"/>
        <v>137.70000000000002</v>
      </c>
      <c r="L18" s="7">
        <v>240</v>
      </c>
      <c r="M18" s="7">
        <f t="shared" si="3"/>
        <v>402.20000000000005</v>
      </c>
    </row>
    <row r="19" spans="1:13">
      <c r="A19" s="6">
        <v>45111</v>
      </c>
      <c r="B19" s="5" t="s">
        <v>80</v>
      </c>
      <c r="C19" s="5" t="s">
        <v>157</v>
      </c>
      <c r="D19" s="5">
        <v>79</v>
      </c>
      <c r="E19" s="5">
        <v>72</v>
      </c>
      <c r="F19" s="5">
        <v>5504</v>
      </c>
      <c r="G19" s="5">
        <v>5351</v>
      </c>
      <c r="H19" s="5">
        <f t="shared" si="8"/>
        <v>7</v>
      </c>
      <c r="I19" s="5">
        <f t="shared" si="9"/>
        <v>193</v>
      </c>
      <c r="J19" s="7">
        <f t="shared" si="7"/>
        <v>24.5</v>
      </c>
      <c r="K19" s="7">
        <f t="shared" si="4"/>
        <v>173.70000000000002</v>
      </c>
      <c r="L19" s="7">
        <v>240</v>
      </c>
      <c r="M19" s="7">
        <f t="shared" si="3"/>
        <v>438.20000000000005</v>
      </c>
    </row>
    <row r="20" spans="1:13">
      <c r="A20" s="6">
        <v>45142</v>
      </c>
      <c r="B20" s="5" t="s">
        <v>80</v>
      </c>
      <c r="C20" s="5" t="s">
        <v>157</v>
      </c>
      <c r="D20" s="5">
        <v>86</v>
      </c>
      <c r="E20" s="5">
        <v>79</v>
      </c>
      <c r="F20" s="5">
        <v>5697</v>
      </c>
      <c r="G20" s="5">
        <v>5504</v>
      </c>
      <c r="H20" s="5">
        <f t="shared" si="8"/>
        <v>5</v>
      </c>
      <c r="I20" s="5">
        <f t="shared" si="9"/>
        <v>65</v>
      </c>
      <c r="J20" s="7">
        <f t="shared" si="7"/>
        <v>17.5</v>
      </c>
      <c r="K20" s="7">
        <f t="shared" si="4"/>
        <v>58.5</v>
      </c>
      <c r="L20" s="7">
        <v>240</v>
      </c>
      <c r="M20" s="7">
        <f t="shared" si="3"/>
        <v>316</v>
      </c>
    </row>
    <row r="21" spans="1:13">
      <c r="A21" s="6">
        <v>45173</v>
      </c>
      <c r="B21" s="5" t="s">
        <v>80</v>
      </c>
      <c r="C21" s="5" t="s">
        <v>157</v>
      </c>
      <c r="D21" s="5">
        <v>91</v>
      </c>
      <c r="E21" s="5">
        <v>86</v>
      </c>
      <c r="F21" s="5">
        <v>5762</v>
      </c>
      <c r="G21" s="5">
        <v>5697</v>
      </c>
      <c r="H21" s="5">
        <f t="shared" si="8"/>
        <v>9</v>
      </c>
      <c r="I21" s="5">
        <f t="shared" si="9"/>
        <v>64</v>
      </c>
      <c r="J21" s="7">
        <f t="shared" si="7"/>
        <v>31.5</v>
      </c>
      <c r="K21" s="7">
        <f>I21*1</f>
        <v>64</v>
      </c>
      <c r="L21" s="7">
        <v>240</v>
      </c>
      <c r="M21" s="7">
        <f t="shared" si="3"/>
        <v>335.5</v>
      </c>
    </row>
    <row r="22" spans="1:13">
      <c r="A22" s="6">
        <v>45203</v>
      </c>
      <c r="B22" s="5" t="s">
        <v>80</v>
      </c>
      <c r="C22" s="5" t="s">
        <v>157</v>
      </c>
      <c r="D22" s="5">
        <v>100</v>
      </c>
      <c r="E22" s="5">
        <v>91</v>
      </c>
      <c r="F22" s="5">
        <v>5826</v>
      </c>
      <c r="G22" s="5">
        <v>5762</v>
      </c>
      <c r="H22" s="5">
        <f t="shared" si="8"/>
        <v>4</v>
      </c>
      <c r="I22" s="5">
        <f t="shared" si="9"/>
        <v>65</v>
      </c>
      <c r="J22" s="7">
        <f t="shared" si="7"/>
        <v>14</v>
      </c>
      <c r="K22" s="7">
        <f t="shared" ref="K22:K27" si="10">I22*1</f>
        <v>65</v>
      </c>
      <c r="L22" s="7">
        <v>240</v>
      </c>
      <c r="M22" s="7">
        <f t="shared" si="3"/>
        <v>319</v>
      </c>
    </row>
    <row r="23" spans="1:13">
      <c r="A23" s="6">
        <v>45234</v>
      </c>
      <c r="B23" s="5" t="s">
        <v>80</v>
      </c>
      <c r="C23" s="5" t="s">
        <v>157</v>
      </c>
      <c r="D23" s="5">
        <v>104</v>
      </c>
      <c r="E23" s="5">
        <v>100</v>
      </c>
      <c r="F23" s="5">
        <v>5891</v>
      </c>
      <c r="G23" s="5">
        <v>5826</v>
      </c>
      <c r="H23" s="5">
        <f t="shared" si="8"/>
        <v>7</v>
      </c>
      <c r="I23" s="5">
        <f t="shared" si="9"/>
        <v>71</v>
      </c>
      <c r="J23" s="7">
        <f t="shared" si="7"/>
        <v>24.5</v>
      </c>
      <c r="K23" s="7">
        <f t="shared" si="10"/>
        <v>71</v>
      </c>
      <c r="L23" s="7">
        <v>240</v>
      </c>
      <c r="M23" s="7">
        <f t="shared" si="3"/>
        <v>335.5</v>
      </c>
    </row>
    <row r="24" spans="1:13">
      <c r="A24" s="6">
        <v>45264</v>
      </c>
      <c r="B24" s="5" t="s">
        <v>80</v>
      </c>
      <c r="C24" s="5" t="s">
        <v>157</v>
      </c>
      <c r="D24" s="5">
        <v>111</v>
      </c>
      <c r="E24" s="5">
        <v>104</v>
      </c>
      <c r="F24" s="5">
        <v>5962</v>
      </c>
      <c r="G24" s="5">
        <v>5891</v>
      </c>
      <c r="H24" s="5">
        <f t="shared" si="8"/>
        <v>6</v>
      </c>
      <c r="I24" s="5">
        <f t="shared" si="9"/>
        <v>79</v>
      </c>
      <c r="J24" s="7">
        <f t="shared" si="7"/>
        <v>21</v>
      </c>
      <c r="K24" s="7">
        <f t="shared" si="10"/>
        <v>79</v>
      </c>
      <c r="L24" s="7">
        <v>240</v>
      </c>
      <c r="M24" s="7">
        <f t="shared" si="3"/>
        <v>340</v>
      </c>
    </row>
    <row r="25" spans="1:13">
      <c r="A25" s="6">
        <v>45295</v>
      </c>
      <c r="B25" s="5" t="s">
        <v>80</v>
      </c>
      <c r="C25" s="5" t="s">
        <v>157</v>
      </c>
      <c r="D25" s="5">
        <v>117</v>
      </c>
      <c r="E25" s="5">
        <v>111</v>
      </c>
      <c r="F25" s="5">
        <v>6041</v>
      </c>
      <c r="G25" s="5">
        <v>5962</v>
      </c>
      <c r="H25" s="5">
        <f t="shared" si="8"/>
        <v>5</v>
      </c>
      <c r="I25" s="5">
        <f t="shared" si="9"/>
        <v>67</v>
      </c>
      <c r="J25" s="7">
        <f t="shared" si="7"/>
        <v>17.5</v>
      </c>
      <c r="K25" s="7">
        <f t="shared" si="10"/>
        <v>67</v>
      </c>
      <c r="L25" s="7">
        <v>240</v>
      </c>
      <c r="M25" s="7">
        <f t="shared" si="3"/>
        <v>324.5</v>
      </c>
    </row>
    <row r="26" spans="1:13">
      <c r="A26" s="6">
        <v>45326</v>
      </c>
      <c r="B26" s="5" t="s">
        <v>80</v>
      </c>
      <c r="C26" s="5" t="s">
        <v>157</v>
      </c>
      <c r="D26" s="5">
        <v>122</v>
      </c>
      <c r="E26" s="5">
        <v>117</v>
      </c>
      <c r="F26" s="5">
        <v>6108</v>
      </c>
      <c r="G26" s="5">
        <v>6041</v>
      </c>
      <c r="H26" s="5">
        <f t="shared" si="8"/>
        <v>4</v>
      </c>
      <c r="I26" s="5">
        <f t="shared" si="9"/>
        <v>58</v>
      </c>
      <c r="J26" s="7">
        <f t="shared" si="7"/>
        <v>14</v>
      </c>
      <c r="K26" s="7">
        <f t="shared" si="10"/>
        <v>58</v>
      </c>
      <c r="L26" s="7">
        <v>240</v>
      </c>
      <c r="M26" s="7">
        <f t="shared" si="3"/>
        <v>312</v>
      </c>
    </row>
    <row r="27" spans="1:13">
      <c r="A27" s="6">
        <v>45355</v>
      </c>
      <c r="B27" s="5" t="s">
        <v>80</v>
      </c>
      <c r="C27" s="5" t="s">
        <v>157</v>
      </c>
      <c r="D27" s="5">
        <v>126</v>
      </c>
      <c r="E27" s="5">
        <v>122</v>
      </c>
      <c r="F27" s="5">
        <v>6166</v>
      </c>
      <c r="G27" s="5">
        <v>6108</v>
      </c>
      <c r="H27" s="5">
        <f t="shared" si="8"/>
        <v>7</v>
      </c>
      <c r="I27" s="5">
        <f t="shared" si="9"/>
        <v>66</v>
      </c>
      <c r="J27" s="7">
        <f t="shared" si="7"/>
        <v>24.5</v>
      </c>
      <c r="K27" s="7">
        <f t="shared" si="10"/>
        <v>66</v>
      </c>
      <c r="L27" s="7">
        <v>240</v>
      </c>
      <c r="M27" s="7">
        <f t="shared" si="3"/>
        <v>330.5</v>
      </c>
    </row>
    <row r="28" spans="1:13">
      <c r="A28" s="6">
        <v>45386</v>
      </c>
      <c r="B28" s="5" t="s">
        <v>13</v>
      </c>
      <c r="C28" s="5" t="s">
        <v>62</v>
      </c>
      <c r="D28" s="5">
        <v>133</v>
      </c>
      <c r="E28" s="5">
        <v>126</v>
      </c>
      <c r="F28" s="5">
        <v>6232</v>
      </c>
      <c r="G28" s="5">
        <v>6166</v>
      </c>
      <c r="H28" s="5">
        <f t="shared" si="8"/>
        <v>5</v>
      </c>
      <c r="I28" s="5">
        <f t="shared" si="9"/>
        <v>69</v>
      </c>
      <c r="J28" s="7">
        <f t="shared" ref="J28" si="11">H28*3.5</f>
        <v>17.5</v>
      </c>
      <c r="K28" s="7">
        <f t="shared" ref="K28" si="12">I28*1</f>
        <v>69</v>
      </c>
      <c r="L28" s="7">
        <v>241</v>
      </c>
      <c r="M28" s="7">
        <f t="shared" ref="M28:M52" si="13">J28+K28+L28</f>
        <v>327.5</v>
      </c>
    </row>
    <row r="29" spans="1:13">
      <c r="A29" s="6">
        <v>45416</v>
      </c>
      <c r="B29" s="5" t="s">
        <v>13</v>
      </c>
      <c r="C29" s="5" t="s">
        <v>62</v>
      </c>
      <c r="D29" s="5">
        <v>138</v>
      </c>
      <c r="E29" s="5">
        <v>133</v>
      </c>
      <c r="F29" s="5">
        <v>6301</v>
      </c>
      <c r="G29" s="5">
        <v>6232</v>
      </c>
      <c r="H29" s="5">
        <f t="shared" ref="H29:H52" si="14">D29-E29</f>
        <v>5</v>
      </c>
      <c r="I29" s="5">
        <f t="shared" ref="I29:I52" si="15">F29-G29</f>
        <v>69</v>
      </c>
      <c r="J29" s="7">
        <f t="shared" ref="J29:J52" si="16">H29*3.5</f>
        <v>17.5</v>
      </c>
      <c r="K29" s="7">
        <f t="shared" ref="K29:K52" si="17">I29*1</f>
        <v>69</v>
      </c>
      <c r="L29" s="7">
        <v>240</v>
      </c>
      <c r="M29" s="7">
        <f t="shared" si="13"/>
        <v>326.5</v>
      </c>
    </row>
    <row r="30" spans="1:13">
      <c r="A30" s="6">
        <v>45447</v>
      </c>
      <c r="B30" s="5" t="s">
        <v>13</v>
      </c>
      <c r="C30" s="5" t="s">
        <v>62</v>
      </c>
      <c r="D30" s="5">
        <v>140</v>
      </c>
      <c r="E30" s="5">
        <v>138</v>
      </c>
      <c r="F30" s="5">
        <v>6356</v>
      </c>
      <c r="G30" s="5">
        <v>6301</v>
      </c>
      <c r="H30" s="5">
        <f t="shared" si="14"/>
        <v>2</v>
      </c>
      <c r="I30" s="5">
        <f t="shared" si="15"/>
        <v>55</v>
      </c>
      <c r="J30" s="7">
        <f t="shared" si="16"/>
        <v>7</v>
      </c>
      <c r="K30" s="7">
        <f t="shared" si="17"/>
        <v>55</v>
      </c>
      <c r="L30" s="7">
        <v>240</v>
      </c>
      <c r="M30" s="7">
        <f t="shared" si="13"/>
        <v>302</v>
      </c>
    </row>
    <row r="31" spans="1:13">
      <c r="A31" s="6">
        <v>45477</v>
      </c>
      <c r="B31" s="5" t="s">
        <v>13</v>
      </c>
      <c r="C31" s="5" t="s">
        <v>62</v>
      </c>
      <c r="D31" s="5">
        <v>143</v>
      </c>
      <c r="E31" s="5">
        <v>140</v>
      </c>
      <c r="F31" s="5">
        <v>6483</v>
      </c>
      <c r="G31" s="5">
        <v>6356</v>
      </c>
      <c r="H31" s="5">
        <f t="shared" si="14"/>
        <v>3</v>
      </c>
      <c r="I31" s="5">
        <f t="shared" si="15"/>
        <v>127</v>
      </c>
      <c r="J31" s="7">
        <f t="shared" si="16"/>
        <v>10.5</v>
      </c>
      <c r="K31" s="7">
        <f t="shared" si="17"/>
        <v>127</v>
      </c>
      <c r="L31" s="7">
        <v>240</v>
      </c>
      <c r="M31" s="7">
        <f t="shared" si="13"/>
        <v>377.5</v>
      </c>
    </row>
    <row r="32" spans="1:13">
      <c r="A32" s="6">
        <v>45508</v>
      </c>
      <c r="B32" s="5" t="s">
        <v>13</v>
      </c>
      <c r="C32" s="5" t="s">
        <v>62</v>
      </c>
      <c r="D32" s="5">
        <v>145</v>
      </c>
      <c r="E32" s="5">
        <v>143</v>
      </c>
      <c r="F32" s="5">
        <v>6572</v>
      </c>
      <c r="G32" s="5">
        <v>6483</v>
      </c>
      <c r="H32" s="5">
        <f t="shared" si="14"/>
        <v>2</v>
      </c>
      <c r="I32" s="5">
        <f t="shared" si="15"/>
        <v>89</v>
      </c>
      <c r="J32" s="7">
        <f t="shared" si="16"/>
        <v>7</v>
      </c>
      <c r="K32" s="7">
        <f t="shared" si="17"/>
        <v>89</v>
      </c>
      <c r="L32" s="7">
        <v>240</v>
      </c>
      <c r="M32" s="7">
        <f t="shared" si="13"/>
        <v>336</v>
      </c>
    </row>
    <row r="33" spans="1:15">
      <c r="A33" s="6">
        <v>45539</v>
      </c>
      <c r="B33" s="5" t="s">
        <v>13</v>
      </c>
      <c r="C33" s="5" t="s">
        <v>62</v>
      </c>
      <c r="D33" s="5">
        <v>150</v>
      </c>
      <c r="E33" s="5">
        <v>145</v>
      </c>
      <c r="F33" s="5">
        <v>6619</v>
      </c>
      <c r="G33" s="5">
        <v>6572</v>
      </c>
      <c r="H33" s="5">
        <f t="shared" si="14"/>
        <v>5</v>
      </c>
      <c r="I33" s="5">
        <f t="shared" si="15"/>
        <v>47</v>
      </c>
      <c r="J33" s="7">
        <f t="shared" si="16"/>
        <v>17.5</v>
      </c>
      <c r="K33" s="7">
        <f t="shared" si="17"/>
        <v>47</v>
      </c>
      <c r="L33" s="7">
        <v>240</v>
      </c>
      <c r="M33" s="7">
        <f t="shared" si="13"/>
        <v>304.5</v>
      </c>
    </row>
    <row r="34" spans="1:15">
      <c r="A34" s="6">
        <v>45569</v>
      </c>
      <c r="B34" s="5" t="s">
        <v>13</v>
      </c>
      <c r="C34" s="5" t="s">
        <v>62</v>
      </c>
      <c r="D34" s="5">
        <v>155</v>
      </c>
      <c r="E34" s="5">
        <v>150</v>
      </c>
      <c r="F34" s="5">
        <v>6673</v>
      </c>
      <c r="G34" s="5">
        <v>6619</v>
      </c>
      <c r="H34" s="5">
        <f t="shared" si="14"/>
        <v>5</v>
      </c>
      <c r="I34" s="5">
        <f t="shared" si="15"/>
        <v>54</v>
      </c>
      <c r="J34" s="7">
        <f t="shared" si="16"/>
        <v>17.5</v>
      </c>
      <c r="K34" s="7">
        <f t="shared" si="17"/>
        <v>54</v>
      </c>
      <c r="L34" s="7">
        <v>240</v>
      </c>
      <c r="M34" s="7">
        <f t="shared" si="13"/>
        <v>311.5</v>
      </c>
    </row>
    <row r="35" spans="1:15">
      <c r="A35" s="6">
        <v>45600</v>
      </c>
      <c r="B35" s="5" t="s">
        <v>13</v>
      </c>
      <c r="C35" s="5" t="s">
        <v>62</v>
      </c>
      <c r="D35" s="5">
        <v>162</v>
      </c>
      <c r="E35" s="5">
        <v>155</v>
      </c>
      <c r="F35" s="5">
        <v>6751</v>
      </c>
      <c r="G35" s="5">
        <v>6673</v>
      </c>
      <c r="H35" s="5">
        <f t="shared" si="14"/>
        <v>7</v>
      </c>
      <c r="I35" s="5">
        <f t="shared" si="15"/>
        <v>78</v>
      </c>
      <c r="J35" s="7">
        <f t="shared" si="16"/>
        <v>24.5</v>
      </c>
      <c r="K35" s="7">
        <f t="shared" si="17"/>
        <v>78</v>
      </c>
      <c r="L35" s="7">
        <v>240</v>
      </c>
      <c r="M35" s="7">
        <f t="shared" si="13"/>
        <v>342.5</v>
      </c>
    </row>
    <row r="36" spans="1:15">
      <c r="A36" s="6">
        <v>45630</v>
      </c>
      <c r="B36" s="5" t="s">
        <v>13</v>
      </c>
      <c r="C36" s="5" t="s">
        <v>62</v>
      </c>
      <c r="D36" s="5">
        <v>165</v>
      </c>
      <c r="E36" s="5">
        <v>162</v>
      </c>
      <c r="F36" s="5">
        <v>6807</v>
      </c>
      <c r="G36" s="5">
        <v>6751</v>
      </c>
      <c r="H36" s="5">
        <f t="shared" si="14"/>
        <v>3</v>
      </c>
      <c r="I36" s="5">
        <f t="shared" si="15"/>
        <v>56</v>
      </c>
      <c r="J36" s="7">
        <f t="shared" si="16"/>
        <v>10.5</v>
      </c>
      <c r="K36" s="7">
        <f t="shared" si="17"/>
        <v>56</v>
      </c>
      <c r="L36" s="7">
        <v>240</v>
      </c>
      <c r="M36" s="7">
        <f t="shared" si="13"/>
        <v>306.5</v>
      </c>
    </row>
    <row r="37" spans="1:15">
      <c r="A37" s="6">
        <v>45672</v>
      </c>
      <c r="B37" s="5" t="s">
        <v>13</v>
      </c>
      <c r="C37" s="5" t="s">
        <v>62</v>
      </c>
      <c r="D37" s="5">
        <v>168</v>
      </c>
      <c r="E37" s="5">
        <v>165</v>
      </c>
      <c r="F37" s="5">
        <v>6908</v>
      </c>
      <c r="G37" s="5">
        <v>6807</v>
      </c>
      <c r="H37" s="5">
        <f t="shared" si="14"/>
        <v>3</v>
      </c>
      <c r="I37" s="5">
        <f t="shared" si="15"/>
        <v>101</v>
      </c>
      <c r="J37" s="7">
        <f t="shared" si="16"/>
        <v>10.5</v>
      </c>
      <c r="K37" s="7">
        <f t="shared" si="17"/>
        <v>101</v>
      </c>
      <c r="L37" s="7">
        <v>250</v>
      </c>
      <c r="M37" s="7">
        <f t="shared" si="13"/>
        <v>361.5</v>
      </c>
      <c r="O37" s="5" t="s">
        <v>63</v>
      </c>
    </row>
    <row r="38" spans="1:15" ht="20">
      <c r="A38" s="6">
        <v>45703</v>
      </c>
      <c r="B38" s="5" t="s">
        <v>13</v>
      </c>
      <c r="C38" s="5" t="s">
        <v>62</v>
      </c>
      <c r="D38" s="5">
        <v>172</v>
      </c>
      <c r="E38" s="5">
        <v>168</v>
      </c>
      <c r="F38" s="1">
        <v>6994</v>
      </c>
      <c r="G38" s="5">
        <v>6908</v>
      </c>
      <c r="H38" s="5">
        <f t="shared" si="14"/>
        <v>4</v>
      </c>
      <c r="I38" s="5">
        <f t="shared" si="15"/>
        <v>86</v>
      </c>
      <c r="J38" s="7">
        <f t="shared" si="16"/>
        <v>14</v>
      </c>
      <c r="K38" s="7">
        <f t="shared" si="17"/>
        <v>86</v>
      </c>
      <c r="L38" s="7">
        <v>250</v>
      </c>
      <c r="M38" s="7">
        <f t="shared" si="13"/>
        <v>350</v>
      </c>
    </row>
    <row r="39" spans="1:15">
      <c r="A39" s="6">
        <v>45731</v>
      </c>
      <c r="B39" s="5" t="s">
        <v>13</v>
      </c>
      <c r="C39" s="5" t="s">
        <v>62</v>
      </c>
      <c r="D39" s="5">
        <v>174</v>
      </c>
      <c r="E39" s="5">
        <v>172</v>
      </c>
      <c r="F39" s="5">
        <v>7059</v>
      </c>
      <c r="G39" s="5">
        <v>6994</v>
      </c>
      <c r="H39" s="5">
        <f t="shared" si="14"/>
        <v>2</v>
      </c>
      <c r="I39" s="5">
        <f t="shared" si="15"/>
        <v>65</v>
      </c>
      <c r="J39" s="7">
        <f t="shared" si="16"/>
        <v>7</v>
      </c>
      <c r="K39" s="7">
        <f t="shared" si="17"/>
        <v>65</v>
      </c>
      <c r="L39" s="7">
        <v>250</v>
      </c>
      <c r="M39" s="7">
        <f t="shared" si="13"/>
        <v>322</v>
      </c>
    </row>
    <row r="40" spans="1:15">
      <c r="A40" s="6">
        <v>45762</v>
      </c>
      <c r="B40" s="5" t="s">
        <v>13</v>
      </c>
      <c r="C40" s="5" t="s">
        <v>62</v>
      </c>
      <c r="D40" s="5">
        <v>179</v>
      </c>
      <c r="E40" s="5">
        <v>174</v>
      </c>
      <c r="F40" s="5">
        <v>7124</v>
      </c>
      <c r="G40" s="5">
        <v>7059</v>
      </c>
      <c r="H40" s="5">
        <f t="shared" si="14"/>
        <v>5</v>
      </c>
      <c r="I40" s="5">
        <f t="shared" si="15"/>
        <v>65</v>
      </c>
      <c r="J40" s="7">
        <f t="shared" si="16"/>
        <v>17.5</v>
      </c>
      <c r="K40" s="7">
        <f t="shared" si="17"/>
        <v>65</v>
      </c>
      <c r="L40" s="7">
        <v>250</v>
      </c>
      <c r="M40" s="7">
        <f t="shared" si="13"/>
        <v>332.5</v>
      </c>
    </row>
    <row r="41" spans="1:15">
      <c r="A41" s="6">
        <v>45792</v>
      </c>
      <c r="B41" s="5" t="s">
        <v>13</v>
      </c>
      <c r="C41" s="5" t="s">
        <v>62</v>
      </c>
      <c r="D41" s="5">
        <v>184</v>
      </c>
      <c r="E41" s="5">
        <v>179</v>
      </c>
      <c r="F41" s="5">
        <v>7161</v>
      </c>
      <c r="G41" s="5">
        <v>7124</v>
      </c>
      <c r="H41" s="5">
        <f t="shared" si="14"/>
        <v>5</v>
      </c>
      <c r="I41" s="5">
        <f t="shared" si="15"/>
        <v>37</v>
      </c>
      <c r="J41" s="7">
        <f t="shared" si="16"/>
        <v>17.5</v>
      </c>
      <c r="K41" s="7">
        <f t="shared" si="17"/>
        <v>37</v>
      </c>
      <c r="L41" s="7">
        <v>250</v>
      </c>
      <c r="M41" s="7">
        <f t="shared" si="13"/>
        <v>304.5</v>
      </c>
    </row>
    <row r="42" spans="1:15">
      <c r="A42" s="6">
        <v>45792</v>
      </c>
      <c r="B42" s="5" t="s">
        <v>13</v>
      </c>
      <c r="C42" s="5" t="s">
        <v>62</v>
      </c>
      <c r="D42" s="5">
        <v>0</v>
      </c>
      <c r="E42" s="5">
        <v>0</v>
      </c>
      <c r="F42" s="5">
        <v>50</v>
      </c>
      <c r="G42" s="5">
        <v>0</v>
      </c>
      <c r="H42" s="5">
        <f t="shared" si="14"/>
        <v>0</v>
      </c>
      <c r="I42" s="5">
        <f t="shared" si="15"/>
        <v>50</v>
      </c>
      <c r="J42" s="7">
        <f t="shared" si="16"/>
        <v>0</v>
      </c>
      <c r="K42" s="7">
        <f t="shared" si="17"/>
        <v>50</v>
      </c>
      <c r="L42" s="7">
        <v>0</v>
      </c>
      <c r="M42" s="7">
        <f t="shared" si="13"/>
        <v>50</v>
      </c>
      <c r="O42" s="5" t="s">
        <v>158</v>
      </c>
    </row>
    <row r="43" spans="1:15">
      <c r="A43" s="6">
        <v>45823</v>
      </c>
      <c r="B43" s="5" t="s">
        <v>13</v>
      </c>
      <c r="C43" s="5" t="s">
        <v>62</v>
      </c>
      <c r="D43" s="5">
        <v>191</v>
      </c>
      <c r="E43" s="5">
        <v>184</v>
      </c>
      <c r="F43" s="5">
        <v>121</v>
      </c>
      <c r="G43" s="5">
        <v>50</v>
      </c>
      <c r="H43" s="5">
        <f t="shared" si="14"/>
        <v>7</v>
      </c>
      <c r="I43" s="5">
        <f t="shared" si="15"/>
        <v>71</v>
      </c>
      <c r="J43" s="7">
        <f t="shared" si="16"/>
        <v>24.5</v>
      </c>
      <c r="K43" s="7">
        <f t="shared" si="17"/>
        <v>71</v>
      </c>
      <c r="L43" s="7">
        <v>250</v>
      </c>
      <c r="M43" s="7">
        <f t="shared" si="13"/>
        <v>345.5</v>
      </c>
    </row>
    <row r="44" spans="1:15">
      <c r="A44" s="6">
        <v>45853</v>
      </c>
      <c r="B44" s="5" t="s">
        <v>80</v>
      </c>
      <c r="C44" s="5" t="s">
        <v>62</v>
      </c>
      <c r="D44" s="5">
        <v>194</v>
      </c>
      <c r="E44" s="5">
        <v>191</v>
      </c>
      <c r="F44" s="5">
        <v>355</v>
      </c>
      <c r="G44" s="5">
        <v>121</v>
      </c>
      <c r="H44" s="5">
        <f t="shared" si="14"/>
        <v>3</v>
      </c>
      <c r="I44" s="5">
        <f t="shared" si="15"/>
        <v>234</v>
      </c>
      <c r="J44" s="7">
        <f t="shared" si="16"/>
        <v>10.5</v>
      </c>
      <c r="K44" s="7">
        <f t="shared" si="17"/>
        <v>234</v>
      </c>
      <c r="L44" s="7">
        <v>250</v>
      </c>
      <c r="M44" s="7">
        <f t="shared" si="13"/>
        <v>494.5</v>
      </c>
    </row>
    <row r="45" spans="1:15">
      <c r="A45" s="6">
        <v>45884</v>
      </c>
      <c r="B45" s="5" t="s">
        <v>80</v>
      </c>
      <c r="C45" s="5" t="s">
        <v>62</v>
      </c>
      <c r="D45" s="5">
        <v>200</v>
      </c>
      <c r="E45" s="5">
        <v>194</v>
      </c>
      <c r="F45" s="5">
        <v>561</v>
      </c>
      <c r="G45" s="5">
        <v>355</v>
      </c>
      <c r="H45" s="5">
        <f t="shared" si="14"/>
        <v>6</v>
      </c>
      <c r="I45" s="5">
        <f t="shared" si="15"/>
        <v>206</v>
      </c>
      <c r="J45" s="7">
        <f t="shared" si="16"/>
        <v>21</v>
      </c>
      <c r="K45" s="7">
        <f t="shared" si="17"/>
        <v>206</v>
      </c>
      <c r="L45" s="7">
        <v>250</v>
      </c>
      <c r="M45" s="7">
        <f t="shared" si="13"/>
        <v>477</v>
      </c>
    </row>
    <row r="46" spans="1:15">
      <c r="A46" s="6">
        <v>45915</v>
      </c>
      <c r="B46" s="5" t="s">
        <v>80</v>
      </c>
      <c r="C46" s="5" t="s">
        <v>62</v>
      </c>
      <c r="D46" s="5">
        <v>204</v>
      </c>
      <c r="E46" s="5">
        <v>200</v>
      </c>
      <c r="F46" s="5">
        <v>687</v>
      </c>
      <c r="G46" s="5">
        <v>561</v>
      </c>
      <c r="H46" s="5">
        <f t="shared" si="14"/>
        <v>4</v>
      </c>
      <c r="I46" s="5">
        <f t="shared" si="15"/>
        <v>126</v>
      </c>
      <c r="J46" s="7">
        <f t="shared" si="16"/>
        <v>14</v>
      </c>
      <c r="K46" s="7">
        <f t="shared" si="17"/>
        <v>126</v>
      </c>
      <c r="L46" s="7">
        <v>250</v>
      </c>
      <c r="M46" s="7">
        <f t="shared" si="13"/>
        <v>390</v>
      </c>
    </row>
    <row r="47" spans="1:15">
      <c r="A47" s="6">
        <v>45945</v>
      </c>
      <c r="B47" s="5" t="s">
        <v>80</v>
      </c>
      <c r="C47" s="5" t="s">
        <v>62</v>
      </c>
      <c r="D47" s="5">
        <v>215</v>
      </c>
      <c r="E47" s="5">
        <v>204</v>
      </c>
      <c r="F47" s="5">
        <v>769</v>
      </c>
      <c r="G47" s="5">
        <v>687</v>
      </c>
      <c r="H47" s="5">
        <f t="shared" si="14"/>
        <v>11</v>
      </c>
      <c r="I47" s="5">
        <f t="shared" si="15"/>
        <v>82</v>
      </c>
      <c r="J47" s="7">
        <f t="shared" si="16"/>
        <v>38.5</v>
      </c>
      <c r="K47" s="7">
        <f t="shared" si="17"/>
        <v>82</v>
      </c>
      <c r="L47" s="7">
        <v>250</v>
      </c>
      <c r="M47" s="7">
        <f t="shared" si="13"/>
        <v>370.5</v>
      </c>
    </row>
    <row r="48" spans="1:15">
      <c r="A48" s="6">
        <v>45976</v>
      </c>
      <c r="B48" s="5" t="s">
        <v>80</v>
      </c>
      <c r="C48" s="5" t="s">
        <v>157</v>
      </c>
      <c r="D48" s="5">
        <v>223</v>
      </c>
      <c r="E48" s="5">
        <v>215</v>
      </c>
      <c r="F48" s="5">
        <v>817</v>
      </c>
      <c r="G48" s="5">
        <v>769</v>
      </c>
      <c r="H48" s="5">
        <f t="shared" si="14"/>
        <v>8</v>
      </c>
      <c r="I48" s="5">
        <f t="shared" si="15"/>
        <v>48</v>
      </c>
      <c r="J48" s="7">
        <f t="shared" si="16"/>
        <v>28</v>
      </c>
      <c r="K48" s="7">
        <f t="shared" si="17"/>
        <v>48</v>
      </c>
      <c r="L48" s="7">
        <v>250</v>
      </c>
      <c r="M48" s="7">
        <f t="shared" si="13"/>
        <v>326</v>
      </c>
    </row>
    <row r="49" spans="1:13">
      <c r="A49" s="6">
        <v>46006</v>
      </c>
      <c r="B49" s="5" t="s">
        <v>80</v>
      </c>
      <c r="C49" s="5" t="s">
        <v>289</v>
      </c>
      <c r="D49" s="5">
        <v>229</v>
      </c>
      <c r="E49" s="5">
        <v>223</v>
      </c>
      <c r="F49" s="5">
        <v>884</v>
      </c>
      <c r="G49" s="5">
        <v>817</v>
      </c>
      <c r="H49" s="5">
        <f t="shared" si="14"/>
        <v>6</v>
      </c>
      <c r="I49" s="5">
        <f t="shared" si="15"/>
        <v>67</v>
      </c>
      <c r="J49" s="7">
        <f t="shared" si="16"/>
        <v>21</v>
      </c>
      <c r="K49" s="7">
        <f t="shared" si="17"/>
        <v>67</v>
      </c>
      <c r="L49" s="7">
        <v>250</v>
      </c>
      <c r="M49" s="7">
        <f t="shared" si="13"/>
        <v>338</v>
      </c>
    </row>
    <row r="50" spans="1:13">
      <c r="A50" s="6">
        <v>46042</v>
      </c>
      <c r="B50" s="5" t="s">
        <v>80</v>
      </c>
      <c r="C50" s="5" t="s">
        <v>289</v>
      </c>
      <c r="D50" s="5">
        <v>239</v>
      </c>
      <c r="E50" s="5">
        <v>229</v>
      </c>
      <c r="F50" s="5">
        <v>948</v>
      </c>
      <c r="G50" s="5">
        <v>884</v>
      </c>
      <c r="H50" s="5">
        <f t="shared" si="14"/>
        <v>10</v>
      </c>
      <c r="I50" s="5">
        <f t="shared" si="15"/>
        <v>64</v>
      </c>
      <c r="J50" s="7">
        <f t="shared" si="16"/>
        <v>35</v>
      </c>
      <c r="K50" s="7">
        <f t="shared" si="17"/>
        <v>64</v>
      </c>
      <c r="L50" s="7">
        <v>250</v>
      </c>
      <c r="M50" s="7">
        <f t="shared" si="13"/>
        <v>349</v>
      </c>
    </row>
    <row r="51" spans="1:13">
      <c r="A51" s="6">
        <v>46078</v>
      </c>
      <c r="B51" s="5" t="s">
        <v>80</v>
      </c>
      <c r="C51" s="5" t="s">
        <v>289</v>
      </c>
      <c r="D51" s="5">
        <v>248</v>
      </c>
      <c r="E51" s="5">
        <v>239</v>
      </c>
      <c r="F51" s="5">
        <v>1020</v>
      </c>
      <c r="G51" s="5">
        <v>948</v>
      </c>
      <c r="H51" s="5">
        <f t="shared" si="14"/>
        <v>9</v>
      </c>
      <c r="I51" s="5">
        <f t="shared" si="15"/>
        <v>72</v>
      </c>
      <c r="J51" s="7">
        <f t="shared" si="16"/>
        <v>31.5</v>
      </c>
      <c r="K51" s="7">
        <f t="shared" si="17"/>
        <v>72</v>
      </c>
      <c r="L51" s="7">
        <v>250</v>
      </c>
      <c r="M51" s="7">
        <f t="shared" si="13"/>
        <v>353.5</v>
      </c>
    </row>
    <row r="52" spans="1:13">
      <c r="A52" s="6">
        <v>46096</v>
      </c>
      <c r="B52" s="5" t="s">
        <v>335</v>
      </c>
      <c r="C52" s="5" t="s">
        <v>336</v>
      </c>
      <c r="D52" s="5">
        <v>252</v>
      </c>
      <c r="E52" s="5">
        <v>248</v>
      </c>
      <c r="F52" s="5">
        <v>1073</v>
      </c>
      <c r="G52" s="5">
        <v>1020</v>
      </c>
      <c r="H52" s="5">
        <f t="shared" si="14"/>
        <v>4</v>
      </c>
      <c r="I52" s="5">
        <f t="shared" si="15"/>
        <v>53</v>
      </c>
      <c r="J52" s="7">
        <f t="shared" si="16"/>
        <v>14</v>
      </c>
      <c r="K52" s="7">
        <f t="shared" si="17"/>
        <v>53</v>
      </c>
      <c r="L52" s="7">
        <v>250</v>
      </c>
      <c r="M52" s="7">
        <f t="shared" si="13"/>
        <v>317</v>
      </c>
    </row>
    <row r="53" spans="1:13">
      <c r="A53" s="3" t="s">
        <v>108</v>
      </c>
      <c r="B53" s="4" t="s">
        <v>107</v>
      </c>
      <c r="C53" s="4" t="s">
        <v>107</v>
      </c>
      <c r="D53" s="4" t="s">
        <v>107</v>
      </c>
      <c r="E53" s="4" t="s">
        <v>107</v>
      </c>
      <c r="F53" s="4" t="s">
        <v>107</v>
      </c>
      <c r="G53" s="4" t="s">
        <v>107</v>
      </c>
      <c r="H53" s="5">
        <f t="shared" ref="H53:M53" si="18">SUBTOTAL(9,H3:H52)</f>
        <v>251</v>
      </c>
      <c r="I53" s="5">
        <f t="shared" si="18"/>
        <v>3808</v>
      </c>
      <c r="J53" s="7">
        <f t="shared" si="18"/>
        <v>878.5</v>
      </c>
      <c r="K53" s="7">
        <f t="shared" si="18"/>
        <v>3681.3</v>
      </c>
      <c r="L53" s="7">
        <f t="shared" si="18"/>
        <v>11911</v>
      </c>
      <c r="M53" s="10">
        <f t="shared" si="18"/>
        <v>16470.8</v>
      </c>
    </row>
  </sheetData>
  <mergeCells count="10">
    <mergeCell ref="L1:L2"/>
    <mergeCell ref="M1:M2"/>
    <mergeCell ref="D1:E1"/>
    <mergeCell ref="F1:G1"/>
    <mergeCell ref="H1:I1"/>
    <mergeCell ref="A1:A2"/>
    <mergeCell ref="B1:B2"/>
    <mergeCell ref="C1:C2"/>
    <mergeCell ref="J1:J2"/>
    <mergeCell ref="K1:K2"/>
  </mergeCells>
  <phoneticPr fontId="1" type="noConversion"/>
  <conditionalFormatting sqref="A1:XFD1048576">
    <cfRule type="cellIs" dxfId="3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O50"/>
  <sheetViews>
    <sheetView zoomScale="120" zoomScaleNormal="120" workbookViewId="0">
      <pane ySplit="2" topLeftCell="A32" activePane="bottomLeft" state="frozen"/>
      <selection activeCell="F38" sqref="F38"/>
      <selection pane="bottomLeft" activeCell="D51" sqref="D51"/>
    </sheetView>
  </sheetViews>
  <sheetFormatPr baseColWidth="10" defaultColWidth="10.85546875" defaultRowHeight="18"/>
  <cols>
    <col min="1" max="1" width="15.71093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1" width="9.85546875" style="7" bestFit="1" customWidth="1"/>
    <col min="12" max="12" width="10.7109375" style="7" bestFit="1" customWidth="1"/>
    <col min="13" max="13" width="13.42578125" style="7" bestFit="1" customWidth="1"/>
    <col min="14" max="14" width="9.42578125" style="5" bestFit="1" customWidth="1"/>
    <col min="15" max="15" width="32.85546875" style="5" bestFit="1" customWidth="1"/>
    <col min="16" max="16384" width="10.85546875" style="5"/>
  </cols>
  <sheetData>
    <row r="1" spans="1:14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5" t="s">
        <v>25</v>
      </c>
      <c r="N1" s="4" t="s">
        <v>26</v>
      </c>
    </row>
    <row r="2" spans="1:14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5"/>
      <c r="N2" s="4">
        <v>200</v>
      </c>
    </row>
    <row r="3" spans="1:14">
      <c r="A3" s="6">
        <v>44682</v>
      </c>
      <c r="B3" s="5" t="s">
        <v>152</v>
      </c>
      <c r="C3" s="5" t="s">
        <v>153</v>
      </c>
      <c r="D3" s="5">
        <v>422</v>
      </c>
      <c r="E3" s="5">
        <v>422</v>
      </c>
      <c r="F3" s="5">
        <v>4430</v>
      </c>
      <c r="G3" s="5">
        <v>4430</v>
      </c>
      <c r="H3" s="5">
        <f t="shared" ref="H3:H25" si="0">D3-E3</f>
        <v>0</v>
      </c>
      <c r="I3" s="5">
        <f t="shared" ref="I3:I25" si="1">F3-G3</f>
        <v>0</v>
      </c>
      <c r="J3" s="7">
        <f t="shared" ref="J3:J25" si="2">H3*3.5</f>
        <v>0</v>
      </c>
      <c r="K3" s="7">
        <f>I3*0.9</f>
        <v>0</v>
      </c>
      <c r="L3" s="7">
        <v>240</v>
      </c>
      <c r="M3" s="7">
        <f t="shared" ref="M3:M25" si="3">J3+K3+L3</f>
        <v>240</v>
      </c>
    </row>
    <row r="4" spans="1:14">
      <c r="A4" s="6">
        <v>44713</v>
      </c>
      <c r="B4" s="5" t="s">
        <v>152</v>
      </c>
      <c r="C4" s="5" t="s">
        <v>153</v>
      </c>
      <c r="D4" s="5">
        <v>425</v>
      </c>
      <c r="E4" s="5">
        <v>422</v>
      </c>
      <c r="F4" s="5">
        <v>4491</v>
      </c>
      <c r="G4" s="5">
        <v>4430</v>
      </c>
      <c r="H4" s="5">
        <f t="shared" si="0"/>
        <v>3</v>
      </c>
      <c r="I4" s="5">
        <f t="shared" si="1"/>
        <v>61</v>
      </c>
      <c r="J4" s="7">
        <f t="shared" si="2"/>
        <v>10.5</v>
      </c>
      <c r="K4" s="7">
        <f t="shared" ref="K4:K19" si="4">I4*0.9</f>
        <v>54.9</v>
      </c>
      <c r="L4" s="7">
        <v>240</v>
      </c>
      <c r="M4" s="7">
        <f t="shared" si="3"/>
        <v>305.39999999999998</v>
      </c>
    </row>
    <row r="5" spans="1:14">
      <c r="A5" s="6">
        <v>44743</v>
      </c>
      <c r="B5" s="5" t="s">
        <v>152</v>
      </c>
      <c r="C5" s="5" t="s">
        <v>153</v>
      </c>
      <c r="D5" s="5">
        <v>428</v>
      </c>
      <c r="E5" s="5">
        <v>425</v>
      </c>
      <c r="F5" s="5">
        <v>4559</v>
      </c>
      <c r="G5" s="5">
        <v>4491</v>
      </c>
      <c r="H5" s="5">
        <f t="shared" si="0"/>
        <v>3</v>
      </c>
      <c r="I5" s="5">
        <f t="shared" si="1"/>
        <v>68</v>
      </c>
      <c r="J5" s="7">
        <f t="shared" si="2"/>
        <v>10.5</v>
      </c>
      <c r="K5" s="7">
        <f t="shared" si="4"/>
        <v>61.2</v>
      </c>
      <c r="L5" s="7">
        <v>240</v>
      </c>
      <c r="M5" s="7">
        <f t="shared" si="3"/>
        <v>311.7</v>
      </c>
    </row>
    <row r="6" spans="1:14">
      <c r="A6" s="6">
        <v>44774</v>
      </c>
      <c r="B6" s="5" t="s">
        <v>152</v>
      </c>
      <c r="C6" s="5" t="s">
        <v>153</v>
      </c>
      <c r="D6" s="5">
        <v>435</v>
      </c>
      <c r="E6" s="5">
        <v>428</v>
      </c>
      <c r="F6" s="5">
        <v>4820</v>
      </c>
      <c r="G6" s="5">
        <v>4559</v>
      </c>
      <c r="H6" s="5">
        <f t="shared" si="0"/>
        <v>7</v>
      </c>
      <c r="I6" s="5">
        <f t="shared" si="1"/>
        <v>261</v>
      </c>
      <c r="J6" s="7">
        <f t="shared" si="2"/>
        <v>24.5</v>
      </c>
      <c r="K6" s="7">
        <f t="shared" si="4"/>
        <v>234.9</v>
      </c>
      <c r="L6" s="7">
        <v>240</v>
      </c>
      <c r="M6" s="7">
        <f t="shared" si="3"/>
        <v>499.4</v>
      </c>
    </row>
    <row r="7" spans="1:14">
      <c r="A7" s="6">
        <v>44805</v>
      </c>
      <c r="B7" s="5" t="s">
        <v>152</v>
      </c>
      <c r="C7" s="5" t="s">
        <v>153</v>
      </c>
      <c r="D7" s="5">
        <v>437</v>
      </c>
      <c r="E7" s="5">
        <v>435</v>
      </c>
      <c r="F7" s="5">
        <v>4958</v>
      </c>
      <c r="G7" s="5">
        <v>4820</v>
      </c>
      <c r="H7" s="5">
        <f t="shared" si="0"/>
        <v>2</v>
      </c>
      <c r="I7" s="5">
        <f t="shared" si="1"/>
        <v>138</v>
      </c>
      <c r="J7" s="7">
        <f t="shared" si="2"/>
        <v>7</v>
      </c>
      <c r="K7" s="7">
        <f t="shared" si="4"/>
        <v>124.2</v>
      </c>
      <c r="L7" s="7">
        <v>240</v>
      </c>
      <c r="M7" s="7">
        <f t="shared" si="3"/>
        <v>371.2</v>
      </c>
    </row>
    <row r="8" spans="1:14">
      <c r="A8" s="6">
        <v>44835</v>
      </c>
      <c r="B8" s="5" t="s">
        <v>152</v>
      </c>
      <c r="C8" s="5" t="s">
        <v>153</v>
      </c>
      <c r="D8" s="5">
        <v>0</v>
      </c>
      <c r="E8" s="5">
        <v>0</v>
      </c>
      <c r="F8" s="5">
        <v>0</v>
      </c>
      <c r="G8" s="5">
        <v>0</v>
      </c>
      <c r="H8" s="5">
        <f t="shared" si="0"/>
        <v>0</v>
      </c>
      <c r="I8" s="5">
        <f t="shared" si="1"/>
        <v>0</v>
      </c>
      <c r="J8" s="7">
        <f t="shared" si="2"/>
        <v>0</v>
      </c>
      <c r="K8" s="7">
        <f t="shared" si="4"/>
        <v>0</v>
      </c>
      <c r="L8" s="7">
        <v>240</v>
      </c>
      <c r="M8" s="7">
        <f t="shared" si="3"/>
        <v>240</v>
      </c>
    </row>
    <row r="9" spans="1:14">
      <c r="A9" s="6">
        <v>44866</v>
      </c>
      <c r="B9" s="5" t="s">
        <v>152</v>
      </c>
      <c r="C9" s="5" t="s">
        <v>153</v>
      </c>
      <c r="D9" s="5">
        <v>444</v>
      </c>
      <c r="E9" s="5">
        <v>437</v>
      </c>
      <c r="F9" s="5">
        <v>5112</v>
      </c>
      <c r="G9" s="5">
        <v>4958</v>
      </c>
      <c r="H9" s="5">
        <f t="shared" si="0"/>
        <v>7</v>
      </c>
      <c r="I9" s="5">
        <f t="shared" si="1"/>
        <v>154</v>
      </c>
      <c r="J9" s="7">
        <f t="shared" si="2"/>
        <v>24.5</v>
      </c>
      <c r="K9" s="7">
        <f t="shared" si="4"/>
        <v>138.6</v>
      </c>
      <c r="L9" s="7">
        <v>240</v>
      </c>
      <c r="M9" s="7">
        <f t="shared" si="3"/>
        <v>403.1</v>
      </c>
    </row>
    <row r="10" spans="1:14">
      <c r="A10" s="6">
        <v>44896</v>
      </c>
      <c r="B10" s="5" t="s">
        <v>152</v>
      </c>
      <c r="C10" s="5" t="s">
        <v>153</v>
      </c>
      <c r="D10" s="5">
        <v>0</v>
      </c>
      <c r="E10" s="5">
        <v>0</v>
      </c>
      <c r="F10" s="5">
        <v>0</v>
      </c>
      <c r="G10" s="5">
        <v>0</v>
      </c>
      <c r="H10" s="5">
        <f t="shared" si="0"/>
        <v>0</v>
      </c>
      <c r="I10" s="5">
        <f t="shared" si="1"/>
        <v>0</v>
      </c>
      <c r="J10" s="7">
        <f t="shared" si="2"/>
        <v>0</v>
      </c>
      <c r="K10" s="7">
        <f t="shared" si="4"/>
        <v>0</v>
      </c>
      <c r="L10" s="7">
        <v>240</v>
      </c>
      <c r="M10" s="7">
        <f t="shared" si="3"/>
        <v>240</v>
      </c>
    </row>
    <row r="11" spans="1:14">
      <c r="A11" s="6">
        <v>44927</v>
      </c>
      <c r="B11" s="5" t="s">
        <v>152</v>
      </c>
      <c r="C11" s="5" t="s">
        <v>153</v>
      </c>
      <c r="D11" s="5">
        <v>446</v>
      </c>
      <c r="E11" s="5">
        <v>444</v>
      </c>
      <c r="F11" s="5">
        <v>5168</v>
      </c>
      <c r="G11" s="5">
        <v>5112</v>
      </c>
      <c r="H11" s="5">
        <f t="shared" si="0"/>
        <v>2</v>
      </c>
      <c r="I11" s="5">
        <f t="shared" si="1"/>
        <v>56</v>
      </c>
      <c r="J11" s="7">
        <f t="shared" si="2"/>
        <v>7</v>
      </c>
      <c r="K11" s="7">
        <f t="shared" si="4"/>
        <v>50.4</v>
      </c>
      <c r="L11" s="7">
        <v>240</v>
      </c>
      <c r="M11" s="7">
        <f t="shared" si="3"/>
        <v>297.39999999999998</v>
      </c>
    </row>
    <row r="12" spans="1:14">
      <c r="A12" s="6">
        <v>44958</v>
      </c>
      <c r="B12" s="5" t="s">
        <v>152</v>
      </c>
      <c r="C12" s="5" t="s">
        <v>153</v>
      </c>
      <c r="D12" s="5">
        <v>450</v>
      </c>
      <c r="E12" s="5">
        <v>446</v>
      </c>
      <c r="F12" s="5">
        <v>5236</v>
      </c>
      <c r="G12" s="5">
        <v>5168</v>
      </c>
      <c r="H12" s="5">
        <f t="shared" si="0"/>
        <v>4</v>
      </c>
      <c r="I12" s="5">
        <f t="shared" si="1"/>
        <v>68</v>
      </c>
      <c r="J12" s="7">
        <f t="shared" si="2"/>
        <v>14</v>
      </c>
      <c r="K12" s="7">
        <f t="shared" si="4"/>
        <v>61.2</v>
      </c>
      <c r="L12" s="7">
        <v>240</v>
      </c>
      <c r="M12" s="7">
        <f t="shared" si="3"/>
        <v>315.2</v>
      </c>
    </row>
    <row r="13" spans="1:14">
      <c r="A13" s="6">
        <v>44986</v>
      </c>
      <c r="B13" s="5" t="s">
        <v>152</v>
      </c>
      <c r="C13" s="5" t="s">
        <v>153</v>
      </c>
      <c r="D13" s="5">
        <v>452</v>
      </c>
      <c r="E13" s="5">
        <v>450</v>
      </c>
      <c r="F13" s="5">
        <v>5298</v>
      </c>
      <c r="G13" s="5">
        <v>5236</v>
      </c>
      <c r="H13" s="5">
        <f t="shared" si="0"/>
        <v>2</v>
      </c>
      <c r="I13" s="5">
        <f t="shared" si="1"/>
        <v>62</v>
      </c>
      <c r="J13" s="7">
        <f t="shared" si="2"/>
        <v>7</v>
      </c>
      <c r="K13" s="7">
        <f t="shared" si="4"/>
        <v>55.800000000000004</v>
      </c>
      <c r="L13" s="7">
        <v>240</v>
      </c>
      <c r="M13" s="7">
        <f t="shared" si="3"/>
        <v>302.8</v>
      </c>
    </row>
    <row r="14" spans="1:14">
      <c r="A14" s="6">
        <v>45017</v>
      </c>
      <c r="B14" s="5" t="s">
        <v>152</v>
      </c>
      <c r="C14" s="5" t="s">
        <v>153</v>
      </c>
      <c r="D14" s="5">
        <v>456</v>
      </c>
      <c r="E14" s="5">
        <v>452</v>
      </c>
      <c r="F14" s="5">
        <v>5357</v>
      </c>
      <c r="G14" s="5">
        <v>5298</v>
      </c>
      <c r="H14" s="5">
        <f t="shared" si="0"/>
        <v>4</v>
      </c>
      <c r="I14" s="5">
        <f t="shared" si="1"/>
        <v>59</v>
      </c>
      <c r="J14" s="7">
        <f t="shared" si="2"/>
        <v>14</v>
      </c>
      <c r="K14" s="7">
        <f t="shared" si="4"/>
        <v>53.1</v>
      </c>
      <c r="L14" s="7">
        <v>240</v>
      </c>
      <c r="M14" s="7">
        <f t="shared" si="3"/>
        <v>307.10000000000002</v>
      </c>
    </row>
    <row r="15" spans="1:14">
      <c r="A15" s="6">
        <v>45047</v>
      </c>
      <c r="B15" s="5" t="s">
        <v>152</v>
      </c>
      <c r="C15" s="5" t="s">
        <v>153</v>
      </c>
      <c r="D15" s="5">
        <v>458</v>
      </c>
      <c r="E15" s="5">
        <v>456</v>
      </c>
      <c r="F15" s="5">
        <v>5403</v>
      </c>
      <c r="G15" s="5">
        <v>5357</v>
      </c>
      <c r="H15" s="5">
        <f t="shared" si="0"/>
        <v>2</v>
      </c>
      <c r="I15" s="5">
        <f t="shared" si="1"/>
        <v>46</v>
      </c>
      <c r="J15" s="7">
        <f t="shared" si="2"/>
        <v>7</v>
      </c>
      <c r="K15" s="7">
        <f t="shared" si="4"/>
        <v>41.4</v>
      </c>
      <c r="L15" s="7">
        <v>240</v>
      </c>
      <c r="M15" s="7">
        <f t="shared" si="3"/>
        <v>288.39999999999998</v>
      </c>
    </row>
    <row r="16" spans="1:14">
      <c r="A16" s="6">
        <v>45078</v>
      </c>
      <c r="B16" s="5" t="s">
        <v>152</v>
      </c>
      <c r="C16" s="5" t="s">
        <v>153</v>
      </c>
      <c r="D16" s="5">
        <v>460</v>
      </c>
      <c r="E16" s="5">
        <v>458</v>
      </c>
      <c r="F16" s="5">
        <v>5467</v>
      </c>
      <c r="G16" s="5">
        <v>5403</v>
      </c>
      <c r="H16" s="5">
        <f t="shared" si="0"/>
        <v>2</v>
      </c>
      <c r="I16" s="5">
        <f t="shared" si="1"/>
        <v>64</v>
      </c>
      <c r="J16" s="7">
        <f t="shared" si="2"/>
        <v>7</v>
      </c>
      <c r="K16" s="7">
        <f t="shared" si="4"/>
        <v>57.6</v>
      </c>
      <c r="L16" s="7">
        <v>240</v>
      </c>
      <c r="M16" s="7">
        <f t="shared" si="3"/>
        <v>304.60000000000002</v>
      </c>
    </row>
    <row r="17" spans="1:15">
      <c r="A17" s="6">
        <v>45108</v>
      </c>
      <c r="B17" s="5" t="s">
        <v>152</v>
      </c>
      <c r="C17" s="5" t="s">
        <v>153</v>
      </c>
      <c r="D17" s="5">
        <v>464</v>
      </c>
      <c r="E17" s="5">
        <v>460</v>
      </c>
      <c r="F17" s="5">
        <v>5575</v>
      </c>
      <c r="G17" s="5">
        <v>5467</v>
      </c>
      <c r="H17" s="5">
        <f t="shared" si="0"/>
        <v>4</v>
      </c>
      <c r="I17" s="5">
        <f t="shared" si="1"/>
        <v>108</v>
      </c>
      <c r="J17" s="7">
        <f t="shared" si="2"/>
        <v>14</v>
      </c>
      <c r="K17" s="7">
        <f t="shared" si="4"/>
        <v>97.2</v>
      </c>
      <c r="L17" s="7">
        <v>240</v>
      </c>
      <c r="M17" s="7">
        <f t="shared" si="3"/>
        <v>351.2</v>
      </c>
    </row>
    <row r="18" spans="1:15">
      <c r="A18" s="6">
        <v>45139</v>
      </c>
      <c r="B18" s="5" t="s">
        <v>152</v>
      </c>
      <c r="C18" s="5" t="s">
        <v>153</v>
      </c>
      <c r="D18" s="5">
        <v>466</v>
      </c>
      <c r="E18" s="5">
        <v>464</v>
      </c>
      <c r="F18" s="5">
        <v>5749</v>
      </c>
      <c r="G18" s="5">
        <v>5575</v>
      </c>
      <c r="H18" s="5">
        <f t="shared" si="0"/>
        <v>2</v>
      </c>
      <c r="I18" s="5">
        <f t="shared" si="1"/>
        <v>174</v>
      </c>
      <c r="J18" s="7">
        <f t="shared" si="2"/>
        <v>7</v>
      </c>
      <c r="K18" s="7">
        <f t="shared" si="4"/>
        <v>156.6</v>
      </c>
      <c r="L18" s="7">
        <v>240</v>
      </c>
      <c r="M18" s="7">
        <f t="shared" si="3"/>
        <v>403.6</v>
      </c>
    </row>
    <row r="19" spans="1:15">
      <c r="A19" s="6">
        <v>45170</v>
      </c>
      <c r="B19" s="5" t="s">
        <v>152</v>
      </c>
      <c r="C19" s="5" t="s">
        <v>153</v>
      </c>
      <c r="D19" s="5">
        <v>470</v>
      </c>
      <c r="E19" s="5">
        <v>466</v>
      </c>
      <c r="F19" s="5">
        <v>5884</v>
      </c>
      <c r="G19" s="5">
        <v>5749</v>
      </c>
      <c r="H19" s="5">
        <f t="shared" si="0"/>
        <v>4</v>
      </c>
      <c r="I19" s="5">
        <f t="shared" si="1"/>
        <v>135</v>
      </c>
      <c r="J19" s="7">
        <f t="shared" si="2"/>
        <v>14</v>
      </c>
      <c r="K19" s="7">
        <f t="shared" si="4"/>
        <v>121.5</v>
      </c>
      <c r="L19" s="7">
        <v>240</v>
      </c>
      <c r="M19" s="7">
        <f t="shared" si="3"/>
        <v>375.5</v>
      </c>
    </row>
    <row r="20" spans="1:15">
      <c r="A20" s="6">
        <v>45200</v>
      </c>
      <c r="B20" s="5" t="s">
        <v>152</v>
      </c>
      <c r="C20" s="5" t="s">
        <v>153</v>
      </c>
      <c r="D20" s="5">
        <v>474</v>
      </c>
      <c r="E20" s="5">
        <v>470</v>
      </c>
      <c r="F20" s="5">
        <v>5978</v>
      </c>
      <c r="G20" s="5">
        <v>5884</v>
      </c>
      <c r="H20" s="5">
        <f t="shared" si="0"/>
        <v>4</v>
      </c>
      <c r="I20" s="5">
        <f t="shared" si="1"/>
        <v>94</v>
      </c>
      <c r="J20" s="7">
        <f t="shared" si="2"/>
        <v>14</v>
      </c>
      <c r="K20" s="7">
        <f t="shared" ref="K20:K25" si="5">I20*1</f>
        <v>94</v>
      </c>
      <c r="L20" s="7">
        <v>240</v>
      </c>
      <c r="M20" s="7">
        <f t="shared" si="3"/>
        <v>348</v>
      </c>
    </row>
    <row r="21" spans="1:15">
      <c r="A21" s="6">
        <v>45231</v>
      </c>
      <c r="B21" s="5" t="s">
        <v>152</v>
      </c>
      <c r="C21" s="5" t="s">
        <v>153</v>
      </c>
      <c r="D21" s="5">
        <v>476</v>
      </c>
      <c r="E21" s="5">
        <v>474</v>
      </c>
      <c r="F21" s="5">
        <v>6029</v>
      </c>
      <c r="G21" s="5">
        <v>5978</v>
      </c>
      <c r="H21" s="5">
        <f t="shared" si="0"/>
        <v>2</v>
      </c>
      <c r="I21" s="5">
        <f t="shared" si="1"/>
        <v>51</v>
      </c>
      <c r="J21" s="7">
        <f t="shared" si="2"/>
        <v>7</v>
      </c>
      <c r="K21" s="7">
        <f t="shared" si="5"/>
        <v>51</v>
      </c>
      <c r="L21" s="7">
        <v>240</v>
      </c>
      <c r="M21" s="7">
        <f t="shared" si="3"/>
        <v>298</v>
      </c>
    </row>
    <row r="22" spans="1:15">
      <c r="A22" s="6">
        <v>45261</v>
      </c>
      <c r="B22" s="5" t="s">
        <v>152</v>
      </c>
      <c r="C22" s="5" t="s">
        <v>153</v>
      </c>
      <c r="D22" s="5">
        <v>480</v>
      </c>
      <c r="E22" s="5">
        <v>476</v>
      </c>
      <c r="F22" s="5">
        <v>6093</v>
      </c>
      <c r="G22" s="5">
        <v>6029</v>
      </c>
      <c r="H22" s="5">
        <f t="shared" si="0"/>
        <v>4</v>
      </c>
      <c r="I22" s="5">
        <f t="shared" si="1"/>
        <v>64</v>
      </c>
      <c r="J22" s="7">
        <f t="shared" si="2"/>
        <v>14</v>
      </c>
      <c r="K22" s="7">
        <f t="shared" si="5"/>
        <v>64</v>
      </c>
      <c r="L22" s="7">
        <v>240</v>
      </c>
      <c r="M22" s="7">
        <f t="shared" si="3"/>
        <v>318</v>
      </c>
    </row>
    <row r="23" spans="1:15">
      <c r="A23" s="6">
        <v>45292</v>
      </c>
      <c r="B23" s="5" t="s">
        <v>152</v>
      </c>
      <c r="C23" s="5" t="s">
        <v>153</v>
      </c>
      <c r="D23" s="5">
        <v>482</v>
      </c>
      <c r="E23" s="5">
        <v>480</v>
      </c>
      <c r="F23" s="5">
        <v>6147</v>
      </c>
      <c r="G23" s="5">
        <v>6093</v>
      </c>
      <c r="H23" s="5">
        <f t="shared" si="0"/>
        <v>2</v>
      </c>
      <c r="I23" s="5">
        <f t="shared" si="1"/>
        <v>54</v>
      </c>
      <c r="J23" s="7">
        <f t="shared" si="2"/>
        <v>7</v>
      </c>
      <c r="K23" s="7">
        <f t="shared" si="5"/>
        <v>54</v>
      </c>
      <c r="L23" s="7">
        <v>240</v>
      </c>
      <c r="M23" s="7">
        <f t="shared" si="3"/>
        <v>301</v>
      </c>
    </row>
    <row r="24" spans="1:15">
      <c r="A24" s="6">
        <v>45323</v>
      </c>
      <c r="B24" s="5" t="s">
        <v>152</v>
      </c>
      <c r="C24" s="5" t="s">
        <v>153</v>
      </c>
      <c r="D24" s="5">
        <v>0</v>
      </c>
      <c r="E24" s="5">
        <v>0</v>
      </c>
      <c r="F24" s="5">
        <v>0</v>
      </c>
      <c r="G24" s="5">
        <v>0</v>
      </c>
      <c r="H24" s="5">
        <f t="shared" si="0"/>
        <v>0</v>
      </c>
      <c r="I24" s="5">
        <f t="shared" si="1"/>
        <v>0</v>
      </c>
      <c r="J24" s="7">
        <f t="shared" si="2"/>
        <v>0</v>
      </c>
      <c r="K24" s="7">
        <f t="shared" si="5"/>
        <v>0</v>
      </c>
      <c r="L24" s="7">
        <v>240</v>
      </c>
      <c r="M24" s="7">
        <f t="shared" si="3"/>
        <v>240</v>
      </c>
    </row>
    <row r="25" spans="1:15">
      <c r="A25" s="6">
        <v>45352</v>
      </c>
      <c r="B25" s="5" t="s">
        <v>152</v>
      </c>
      <c r="C25" s="5" t="s">
        <v>153</v>
      </c>
      <c r="D25" s="5">
        <v>487</v>
      </c>
      <c r="E25" s="5">
        <v>482</v>
      </c>
      <c r="F25" s="5">
        <v>6247</v>
      </c>
      <c r="G25" s="5">
        <v>6147</v>
      </c>
      <c r="H25" s="5">
        <f t="shared" si="0"/>
        <v>5</v>
      </c>
      <c r="I25" s="5">
        <f t="shared" si="1"/>
        <v>100</v>
      </c>
      <c r="J25" s="7">
        <f t="shared" si="2"/>
        <v>17.5</v>
      </c>
      <c r="K25" s="7">
        <f t="shared" si="5"/>
        <v>100</v>
      </c>
      <c r="L25" s="7">
        <v>240</v>
      </c>
      <c r="M25" s="7">
        <f t="shared" si="3"/>
        <v>357.5</v>
      </c>
      <c r="O25" s="5" t="s">
        <v>154</v>
      </c>
    </row>
    <row r="26" spans="1:15">
      <c r="A26" s="6">
        <v>45383</v>
      </c>
      <c r="B26" s="5" t="s">
        <v>14</v>
      </c>
      <c r="C26" s="5" t="s">
        <v>53</v>
      </c>
      <c r="D26" s="5">
        <v>487</v>
      </c>
      <c r="E26" s="5">
        <v>487</v>
      </c>
      <c r="F26" s="5">
        <v>6247</v>
      </c>
      <c r="G26" s="5">
        <v>6247</v>
      </c>
      <c r="H26" s="5">
        <f t="shared" ref="H26:H39" si="6">D26-E26</f>
        <v>0</v>
      </c>
      <c r="I26" s="5">
        <f t="shared" ref="I26:I39" si="7">F26-G26</f>
        <v>0</v>
      </c>
      <c r="J26" s="7">
        <f t="shared" ref="J26:J39" si="8">H26*3.5</f>
        <v>0</v>
      </c>
      <c r="K26" s="7">
        <f t="shared" ref="K26:K39" si="9">I26*1</f>
        <v>0</v>
      </c>
      <c r="L26" s="7">
        <v>240</v>
      </c>
      <c r="M26" s="7">
        <f t="shared" ref="M26:M40" si="10">J26+K26+L26</f>
        <v>240</v>
      </c>
    </row>
    <row r="27" spans="1:15">
      <c r="A27" s="6">
        <v>45413</v>
      </c>
      <c r="B27" s="5" t="s">
        <v>14</v>
      </c>
      <c r="C27" s="5" t="s">
        <v>53</v>
      </c>
      <c r="D27" s="5">
        <v>0</v>
      </c>
      <c r="E27" s="5">
        <v>0</v>
      </c>
      <c r="F27" s="5">
        <v>0</v>
      </c>
      <c r="G27" s="5">
        <v>0</v>
      </c>
      <c r="H27" s="5">
        <f t="shared" si="6"/>
        <v>0</v>
      </c>
      <c r="I27" s="5">
        <f t="shared" si="7"/>
        <v>0</v>
      </c>
      <c r="J27" s="7">
        <f t="shared" si="8"/>
        <v>0</v>
      </c>
      <c r="K27" s="7">
        <f t="shared" si="9"/>
        <v>0</v>
      </c>
      <c r="L27" s="7">
        <v>240</v>
      </c>
      <c r="M27" s="7">
        <f t="shared" si="10"/>
        <v>240</v>
      </c>
    </row>
    <row r="28" spans="1:15">
      <c r="A28" s="6">
        <v>45444</v>
      </c>
      <c r="B28" s="5" t="s">
        <v>14</v>
      </c>
      <c r="C28" s="5" t="s">
        <v>53</v>
      </c>
      <c r="D28" s="5">
        <v>0</v>
      </c>
      <c r="E28" s="5">
        <v>0</v>
      </c>
      <c r="F28" s="5">
        <v>0</v>
      </c>
      <c r="G28" s="5">
        <v>0</v>
      </c>
      <c r="H28" s="5">
        <f t="shared" si="6"/>
        <v>0</v>
      </c>
      <c r="I28" s="5">
        <f t="shared" si="7"/>
        <v>0</v>
      </c>
      <c r="J28" s="7">
        <f t="shared" si="8"/>
        <v>0</v>
      </c>
      <c r="K28" s="7">
        <f t="shared" si="9"/>
        <v>0</v>
      </c>
      <c r="L28" s="7">
        <v>240</v>
      </c>
      <c r="M28" s="7">
        <f t="shared" si="10"/>
        <v>240</v>
      </c>
    </row>
    <row r="29" spans="1:15">
      <c r="A29" s="6">
        <v>45474</v>
      </c>
      <c r="B29" s="5" t="s">
        <v>14</v>
      </c>
      <c r="C29" s="5" t="s">
        <v>53</v>
      </c>
      <c r="D29" s="5">
        <v>0</v>
      </c>
      <c r="E29" s="5">
        <v>0</v>
      </c>
      <c r="F29" s="5">
        <v>0</v>
      </c>
      <c r="G29" s="5">
        <v>0</v>
      </c>
      <c r="H29" s="5">
        <f t="shared" si="6"/>
        <v>0</v>
      </c>
      <c r="I29" s="5">
        <f t="shared" si="7"/>
        <v>0</v>
      </c>
      <c r="J29" s="7">
        <f t="shared" si="8"/>
        <v>0</v>
      </c>
      <c r="K29" s="7">
        <f t="shared" si="9"/>
        <v>0</v>
      </c>
      <c r="L29" s="7">
        <v>240</v>
      </c>
      <c r="M29" s="7">
        <f t="shared" si="10"/>
        <v>240</v>
      </c>
    </row>
    <row r="30" spans="1:15">
      <c r="A30" s="6">
        <v>45505</v>
      </c>
      <c r="B30" s="5" t="s">
        <v>14</v>
      </c>
      <c r="C30" s="5" t="s">
        <v>53</v>
      </c>
      <c r="D30" s="5">
        <v>0</v>
      </c>
      <c r="E30" s="5">
        <v>0</v>
      </c>
      <c r="F30" s="5">
        <v>0</v>
      </c>
      <c r="G30" s="5">
        <v>0</v>
      </c>
      <c r="H30" s="5">
        <f t="shared" si="6"/>
        <v>0</v>
      </c>
      <c r="I30" s="5">
        <f t="shared" si="7"/>
        <v>0</v>
      </c>
      <c r="J30" s="7">
        <f t="shared" si="8"/>
        <v>0</v>
      </c>
      <c r="K30" s="7">
        <f t="shared" si="9"/>
        <v>0</v>
      </c>
      <c r="L30" s="7">
        <v>240</v>
      </c>
      <c r="M30" s="7">
        <f t="shared" si="10"/>
        <v>240</v>
      </c>
    </row>
    <row r="31" spans="1:15">
      <c r="A31" s="6">
        <v>45536</v>
      </c>
      <c r="B31" s="5" t="s">
        <v>14</v>
      </c>
      <c r="C31" s="5" t="s">
        <v>53</v>
      </c>
      <c r="D31" s="5">
        <v>0</v>
      </c>
      <c r="E31" s="5">
        <v>0</v>
      </c>
      <c r="F31" s="5">
        <v>0</v>
      </c>
      <c r="G31" s="5">
        <v>0</v>
      </c>
      <c r="H31" s="5">
        <f t="shared" si="6"/>
        <v>0</v>
      </c>
      <c r="I31" s="5">
        <f t="shared" si="7"/>
        <v>0</v>
      </c>
      <c r="J31" s="7">
        <f t="shared" si="8"/>
        <v>0</v>
      </c>
      <c r="K31" s="7">
        <f t="shared" si="9"/>
        <v>0</v>
      </c>
      <c r="L31" s="7">
        <v>240</v>
      </c>
      <c r="M31" s="7">
        <f t="shared" si="10"/>
        <v>240</v>
      </c>
    </row>
    <row r="32" spans="1:15">
      <c r="A32" s="6">
        <v>45566</v>
      </c>
      <c r="B32" s="5" t="s">
        <v>14</v>
      </c>
      <c r="C32" s="5" t="s">
        <v>53</v>
      </c>
      <c r="D32" s="5">
        <v>0</v>
      </c>
      <c r="E32" s="5">
        <v>0</v>
      </c>
      <c r="F32" s="5">
        <v>0</v>
      </c>
      <c r="G32" s="5">
        <v>0</v>
      </c>
      <c r="H32" s="5">
        <f t="shared" si="6"/>
        <v>0</v>
      </c>
      <c r="I32" s="5">
        <f t="shared" si="7"/>
        <v>0</v>
      </c>
      <c r="J32" s="7">
        <f t="shared" si="8"/>
        <v>0</v>
      </c>
      <c r="K32" s="7">
        <f t="shared" si="9"/>
        <v>0</v>
      </c>
      <c r="L32" s="7">
        <v>240</v>
      </c>
      <c r="M32" s="7">
        <f t="shared" si="10"/>
        <v>240</v>
      </c>
    </row>
    <row r="33" spans="1:15">
      <c r="A33" s="6">
        <v>45597</v>
      </c>
      <c r="B33" s="5" t="s">
        <v>14</v>
      </c>
      <c r="C33" s="5" t="s">
        <v>53</v>
      </c>
      <c r="D33" s="5">
        <v>0</v>
      </c>
      <c r="E33" s="5">
        <v>0</v>
      </c>
      <c r="F33" s="5">
        <v>0</v>
      </c>
      <c r="G33" s="5">
        <v>0</v>
      </c>
      <c r="H33" s="5">
        <f t="shared" si="6"/>
        <v>0</v>
      </c>
      <c r="I33" s="5">
        <f t="shared" si="7"/>
        <v>0</v>
      </c>
      <c r="J33" s="7">
        <f t="shared" si="8"/>
        <v>0</v>
      </c>
      <c r="K33" s="7">
        <f t="shared" si="9"/>
        <v>0</v>
      </c>
      <c r="L33" s="7">
        <v>240</v>
      </c>
      <c r="M33" s="7">
        <f t="shared" si="10"/>
        <v>240</v>
      </c>
    </row>
    <row r="34" spans="1:15">
      <c r="A34" s="6">
        <v>45627</v>
      </c>
      <c r="B34" s="5" t="s">
        <v>14</v>
      </c>
      <c r="C34" s="5" t="s">
        <v>53</v>
      </c>
      <c r="D34" s="5">
        <v>0</v>
      </c>
      <c r="E34" s="5">
        <v>0</v>
      </c>
      <c r="F34" s="5">
        <v>0</v>
      </c>
      <c r="G34" s="5">
        <v>0</v>
      </c>
      <c r="H34" s="5">
        <f t="shared" si="6"/>
        <v>0</v>
      </c>
      <c r="I34" s="5">
        <f t="shared" si="7"/>
        <v>0</v>
      </c>
      <c r="J34" s="7">
        <f t="shared" si="8"/>
        <v>0</v>
      </c>
      <c r="K34" s="7">
        <f t="shared" si="9"/>
        <v>0</v>
      </c>
      <c r="L34" s="7">
        <v>240</v>
      </c>
      <c r="M34" s="7">
        <f t="shared" si="10"/>
        <v>240</v>
      </c>
    </row>
    <row r="35" spans="1:15">
      <c r="A35" s="6">
        <v>45658</v>
      </c>
      <c r="B35" s="5" t="s">
        <v>14</v>
      </c>
      <c r="C35" s="5" t="s">
        <v>53</v>
      </c>
      <c r="D35" s="5">
        <v>0</v>
      </c>
      <c r="E35" s="5">
        <v>0</v>
      </c>
      <c r="F35" s="5">
        <v>0</v>
      </c>
      <c r="G35" s="5">
        <v>0</v>
      </c>
      <c r="H35" s="5">
        <f t="shared" si="6"/>
        <v>0</v>
      </c>
      <c r="I35" s="5">
        <f t="shared" si="7"/>
        <v>0</v>
      </c>
      <c r="J35" s="7">
        <f t="shared" si="8"/>
        <v>0</v>
      </c>
      <c r="K35" s="7">
        <f t="shared" si="9"/>
        <v>0</v>
      </c>
      <c r="L35" s="7">
        <v>240</v>
      </c>
      <c r="M35" s="7">
        <f t="shared" si="10"/>
        <v>240</v>
      </c>
    </row>
    <row r="36" spans="1:15">
      <c r="A36" s="6">
        <v>45689</v>
      </c>
      <c r="B36" s="5" t="s">
        <v>14</v>
      </c>
      <c r="C36" s="5" t="s">
        <v>53</v>
      </c>
      <c r="D36" s="5">
        <v>0</v>
      </c>
      <c r="E36" s="5">
        <v>0</v>
      </c>
      <c r="F36" s="5">
        <v>0</v>
      </c>
      <c r="G36" s="5">
        <v>0</v>
      </c>
      <c r="H36" s="5">
        <f t="shared" si="6"/>
        <v>0</v>
      </c>
      <c r="I36" s="5">
        <f t="shared" si="7"/>
        <v>0</v>
      </c>
      <c r="J36" s="7">
        <f t="shared" si="8"/>
        <v>0</v>
      </c>
      <c r="K36" s="7">
        <f t="shared" si="9"/>
        <v>0</v>
      </c>
      <c r="L36" s="7">
        <v>240</v>
      </c>
      <c r="M36" s="7">
        <f t="shared" si="10"/>
        <v>240</v>
      </c>
    </row>
    <row r="37" spans="1:15">
      <c r="A37" s="6">
        <v>45717</v>
      </c>
      <c r="B37" s="5" t="s">
        <v>14</v>
      </c>
      <c r="C37" s="5" t="s">
        <v>53</v>
      </c>
      <c r="D37" s="5">
        <v>0</v>
      </c>
      <c r="E37" s="5">
        <v>0</v>
      </c>
      <c r="F37" s="5">
        <v>0</v>
      </c>
      <c r="G37" s="5">
        <v>0</v>
      </c>
      <c r="H37" s="5">
        <f t="shared" si="6"/>
        <v>0</v>
      </c>
      <c r="I37" s="5">
        <f t="shared" si="7"/>
        <v>0</v>
      </c>
      <c r="J37" s="7">
        <f t="shared" si="8"/>
        <v>0</v>
      </c>
      <c r="K37" s="7">
        <f t="shared" si="9"/>
        <v>0</v>
      </c>
      <c r="L37" s="7">
        <v>240</v>
      </c>
      <c r="M37" s="7">
        <f t="shared" si="10"/>
        <v>240</v>
      </c>
    </row>
    <row r="38" spans="1:15" ht="20">
      <c r="A38" s="6">
        <v>45748</v>
      </c>
      <c r="B38" s="5" t="s">
        <v>14</v>
      </c>
      <c r="C38" s="5" t="s">
        <v>53</v>
      </c>
      <c r="D38" s="5">
        <v>0</v>
      </c>
      <c r="E38" s="5">
        <v>0</v>
      </c>
      <c r="F38" s="1">
        <v>0</v>
      </c>
      <c r="G38" s="5">
        <v>0</v>
      </c>
      <c r="H38" s="5">
        <f t="shared" si="6"/>
        <v>0</v>
      </c>
      <c r="I38" s="5">
        <f t="shared" si="7"/>
        <v>0</v>
      </c>
      <c r="J38" s="7">
        <f t="shared" si="8"/>
        <v>0</v>
      </c>
      <c r="K38" s="7">
        <f t="shared" si="9"/>
        <v>0</v>
      </c>
      <c r="L38" s="7">
        <v>240</v>
      </c>
      <c r="M38" s="7">
        <f t="shared" si="10"/>
        <v>240</v>
      </c>
    </row>
    <row r="39" spans="1:15">
      <c r="A39" s="6">
        <v>45778</v>
      </c>
      <c r="B39" s="5" t="s">
        <v>14</v>
      </c>
      <c r="C39" s="5" t="s">
        <v>53</v>
      </c>
      <c r="D39" s="5">
        <v>0</v>
      </c>
      <c r="E39" s="5">
        <v>0</v>
      </c>
      <c r="F39" s="5">
        <v>6249</v>
      </c>
      <c r="G39" s="5">
        <v>6247</v>
      </c>
      <c r="H39" s="5">
        <f t="shared" si="6"/>
        <v>0</v>
      </c>
      <c r="I39" s="5">
        <f t="shared" si="7"/>
        <v>2</v>
      </c>
      <c r="J39" s="7">
        <f t="shared" si="8"/>
        <v>0</v>
      </c>
      <c r="K39" s="7">
        <f t="shared" si="9"/>
        <v>2</v>
      </c>
      <c r="L39" s="7">
        <v>240</v>
      </c>
      <c r="M39" s="7">
        <f t="shared" si="10"/>
        <v>242</v>
      </c>
      <c r="O39" s="5" t="s">
        <v>155</v>
      </c>
    </row>
    <row r="40" spans="1:15">
      <c r="A40" s="6">
        <v>45809</v>
      </c>
      <c r="B40" s="5" t="s">
        <v>14</v>
      </c>
      <c r="C40" s="5" t="s">
        <v>53</v>
      </c>
      <c r="D40" s="5">
        <v>0</v>
      </c>
      <c r="E40" s="5">
        <v>0</v>
      </c>
      <c r="F40" s="5">
        <v>0</v>
      </c>
      <c r="G40" s="5">
        <v>0</v>
      </c>
      <c r="H40" s="5">
        <f t="shared" ref="H40:H49" si="11">D40-E40</f>
        <v>0</v>
      </c>
      <c r="I40" s="5">
        <f t="shared" ref="I40:I49" si="12">F40-G40</f>
        <v>0</v>
      </c>
      <c r="J40" s="7">
        <f t="shared" ref="J40:J49" si="13">H40*3.5</f>
        <v>0</v>
      </c>
      <c r="K40" s="7">
        <f t="shared" ref="K40:K49" si="14">I40*1</f>
        <v>0</v>
      </c>
      <c r="L40" s="7">
        <v>240</v>
      </c>
      <c r="M40" s="7">
        <f t="shared" si="10"/>
        <v>240</v>
      </c>
    </row>
    <row r="41" spans="1:15">
      <c r="A41" s="6">
        <v>45839</v>
      </c>
      <c r="B41" s="5" t="s">
        <v>14</v>
      </c>
      <c r="C41" s="5" t="s">
        <v>53</v>
      </c>
      <c r="D41" s="5">
        <v>0</v>
      </c>
      <c r="E41" s="5">
        <v>0</v>
      </c>
      <c r="F41" s="5">
        <v>0</v>
      </c>
      <c r="G41" s="5">
        <v>0</v>
      </c>
      <c r="H41" s="5">
        <f t="shared" si="11"/>
        <v>0</v>
      </c>
      <c r="I41" s="5">
        <f t="shared" si="12"/>
        <v>0</v>
      </c>
      <c r="J41" s="7">
        <f t="shared" si="13"/>
        <v>0</v>
      </c>
      <c r="K41" s="7">
        <f t="shared" si="14"/>
        <v>0</v>
      </c>
      <c r="L41" s="7">
        <v>240</v>
      </c>
      <c r="M41" s="7">
        <f t="shared" ref="M41:M49" si="15">J41+K41+L41</f>
        <v>240</v>
      </c>
      <c r="O41" s="5" t="s">
        <v>238</v>
      </c>
    </row>
    <row r="42" spans="1:15">
      <c r="A42" s="6">
        <v>45870</v>
      </c>
      <c r="B42" s="5" t="s">
        <v>152</v>
      </c>
      <c r="C42" s="5" t="s">
        <v>53</v>
      </c>
      <c r="D42" s="5">
        <v>497</v>
      </c>
      <c r="E42" s="5">
        <v>487</v>
      </c>
      <c r="F42" s="5">
        <v>272</v>
      </c>
      <c r="G42" s="5">
        <v>0</v>
      </c>
      <c r="H42" s="5">
        <f t="shared" si="11"/>
        <v>10</v>
      </c>
      <c r="I42" s="5">
        <f t="shared" si="12"/>
        <v>272</v>
      </c>
      <c r="J42" s="7">
        <f t="shared" si="13"/>
        <v>35</v>
      </c>
      <c r="K42" s="7">
        <f t="shared" si="14"/>
        <v>272</v>
      </c>
      <c r="L42" s="7">
        <v>240</v>
      </c>
      <c r="M42" s="7">
        <f t="shared" si="15"/>
        <v>547</v>
      </c>
    </row>
    <row r="43" spans="1:15">
      <c r="A43" s="6">
        <v>45901</v>
      </c>
      <c r="B43" s="5" t="s">
        <v>152</v>
      </c>
      <c r="C43" s="5" t="s">
        <v>53</v>
      </c>
      <c r="D43" s="5">
        <v>499</v>
      </c>
      <c r="E43" s="5">
        <v>497</v>
      </c>
      <c r="F43" s="5">
        <v>449</v>
      </c>
      <c r="G43" s="5">
        <v>272</v>
      </c>
      <c r="H43" s="5">
        <f t="shared" si="11"/>
        <v>2</v>
      </c>
      <c r="I43" s="5">
        <f t="shared" si="12"/>
        <v>177</v>
      </c>
      <c r="J43" s="7">
        <f t="shared" si="13"/>
        <v>7</v>
      </c>
      <c r="K43" s="7">
        <f t="shared" si="14"/>
        <v>177</v>
      </c>
      <c r="L43" s="7">
        <v>240</v>
      </c>
      <c r="M43" s="7">
        <f t="shared" si="15"/>
        <v>424</v>
      </c>
    </row>
    <row r="44" spans="1:15">
      <c r="A44" s="6">
        <v>45931</v>
      </c>
      <c r="B44" s="5" t="s">
        <v>152</v>
      </c>
      <c r="C44" s="5" t="s">
        <v>186</v>
      </c>
      <c r="D44" s="5">
        <v>500</v>
      </c>
      <c r="E44" s="5">
        <v>499</v>
      </c>
      <c r="F44" s="5">
        <v>578</v>
      </c>
      <c r="G44" s="5">
        <v>449</v>
      </c>
      <c r="H44" s="5">
        <f t="shared" si="11"/>
        <v>1</v>
      </c>
      <c r="I44" s="5">
        <f t="shared" si="12"/>
        <v>129</v>
      </c>
      <c r="J44" s="7">
        <f t="shared" si="13"/>
        <v>3.5</v>
      </c>
      <c r="K44" s="7">
        <f t="shared" si="14"/>
        <v>129</v>
      </c>
      <c r="L44" s="7">
        <v>240</v>
      </c>
      <c r="M44" s="7">
        <f t="shared" si="15"/>
        <v>372.5</v>
      </c>
    </row>
    <row r="45" spans="1:15">
      <c r="A45" s="6">
        <v>45962</v>
      </c>
      <c r="B45" s="5" t="s">
        <v>152</v>
      </c>
      <c r="C45" s="5" t="s">
        <v>186</v>
      </c>
      <c r="D45" s="5">
        <v>0</v>
      </c>
      <c r="E45" s="5">
        <v>0</v>
      </c>
      <c r="F45" s="5">
        <v>0</v>
      </c>
      <c r="G45" s="5">
        <v>0</v>
      </c>
      <c r="H45" s="5">
        <f t="shared" si="11"/>
        <v>0</v>
      </c>
      <c r="I45" s="5">
        <f t="shared" si="12"/>
        <v>0</v>
      </c>
      <c r="J45" s="7">
        <f t="shared" si="13"/>
        <v>0</v>
      </c>
      <c r="K45" s="7">
        <f t="shared" si="14"/>
        <v>0</v>
      </c>
      <c r="L45" s="7">
        <v>240</v>
      </c>
      <c r="M45" s="7">
        <f t="shared" si="15"/>
        <v>240</v>
      </c>
    </row>
    <row r="46" spans="1:15">
      <c r="A46" s="6">
        <v>45992</v>
      </c>
      <c r="B46" s="5" t="s">
        <v>152</v>
      </c>
      <c r="C46" s="5" t="s">
        <v>186</v>
      </c>
      <c r="D46" s="5">
        <v>503</v>
      </c>
      <c r="E46" s="5">
        <v>500</v>
      </c>
      <c r="F46" s="5">
        <v>699</v>
      </c>
      <c r="G46" s="5">
        <v>578</v>
      </c>
      <c r="H46" s="5">
        <f t="shared" si="11"/>
        <v>3</v>
      </c>
      <c r="I46" s="5">
        <f t="shared" si="12"/>
        <v>121</v>
      </c>
      <c r="J46" s="7">
        <f t="shared" si="13"/>
        <v>10.5</v>
      </c>
      <c r="K46" s="7">
        <f t="shared" si="14"/>
        <v>121</v>
      </c>
      <c r="L46" s="7">
        <v>240</v>
      </c>
      <c r="M46" s="7">
        <f t="shared" si="15"/>
        <v>371.5</v>
      </c>
    </row>
    <row r="47" spans="1:15">
      <c r="A47" s="6">
        <v>46023</v>
      </c>
      <c r="B47" s="5" t="s">
        <v>152</v>
      </c>
      <c r="C47" s="5" t="s">
        <v>186</v>
      </c>
      <c r="D47" s="5">
        <v>0</v>
      </c>
      <c r="E47" s="5">
        <v>0</v>
      </c>
      <c r="F47" s="5">
        <v>0</v>
      </c>
      <c r="G47" s="5">
        <v>0</v>
      </c>
      <c r="H47" s="5">
        <f t="shared" si="11"/>
        <v>0</v>
      </c>
      <c r="I47" s="5">
        <f t="shared" si="12"/>
        <v>0</v>
      </c>
      <c r="J47" s="7">
        <f t="shared" si="13"/>
        <v>0</v>
      </c>
      <c r="K47" s="7">
        <f t="shared" si="14"/>
        <v>0</v>
      </c>
      <c r="L47" s="7">
        <v>240</v>
      </c>
      <c r="M47" s="7">
        <f t="shared" si="15"/>
        <v>240</v>
      </c>
    </row>
    <row r="48" spans="1:15">
      <c r="A48" s="6">
        <v>46054</v>
      </c>
      <c r="B48" s="5" t="s">
        <v>152</v>
      </c>
      <c r="C48" s="5" t="s">
        <v>186</v>
      </c>
      <c r="D48" s="5">
        <v>0</v>
      </c>
      <c r="E48" s="5">
        <v>0</v>
      </c>
      <c r="F48" s="5">
        <v>0</v>
      </c>
      <c r="G48" s="5">
        <v>0</v>
      </c>
      <c r="H48" s="5">
        <f t="shared" si="11"/>
        <v>0</v>
      </c>
      <c r="I48" s="5">
        <f t="shared" si="12"/>
        <v>0</v>
      </c>
      <c r="J48" s="7">
        <f t="shared" si="13"/>
        <v>0</v>
      </c>
      <c r="K48" s="7">
        <f t="shared" si="14"/>
        <v>0</v>
      </c>
      <c r="L48" s="7">
        <v>240</v>
      </c>
      <c r="M48" s="7">
        <f t="shared" si="15"/>
        <v>240</v>
      </c>
    </row>
    <row r="49" spans="1:13">
      <c r="A49" s="6">
        <v>46088</v>
      </c>
      <c r="B49" s="5" t="s">
        <v>316</v>
      </c>
      <c r="C49" s="5" t="s">
        <v>317</v>
      </c>
      <c r="D49" s="5">
        <v>0</v>
      </c>
      <c r="E49" s="5">
        <v>0</v>
      </c>
      <c r="F49" s="5">
        <v>0</v>
      </c>
      <c r="G49" s="5">
        <v>0</v>
      </c>
      <c r="H49" s="5">
        <f t="shared" si="11"/>
        <v>0</v>
      </c>
      <c r="I49" s="5">
        <f t="shared" si="12"/>
        <v>0</v>
      </c>
      <c r="J49" s="7">
        <f t="shared" si="13"/>
        <v>0</v>
      </c>
      <c r="K49" s="7">
        <f t="shared" si="14"/>
        <v>0</v>
      </c>
      <c r="L49" s="7">
        <v>240</v>
      </c>
      <c r="M49" s="7">
        <f t="shared" si="15"/>
        <v>240</v>
      </c>
    </row>
    <row r="50" spans="1:13">
      <c r="A50" s="3" t="s">
        <v>108</v>
      </c>
      <c r="B50" s="4" t="s">
        <v>107</v>
      </c>
      <c r="C50" s="4" t="s">
        <v>107</v>
      </c>
      <c r="D50" s="4" t="s">
        <v>107</v>
      </c>
      <c r="E50" s="4" t="s">
        <v>107</v>
      </c>
      <c r="F50" s="4" t="s">
        <v>107</v>
      </c>
      <c r="G50" s="4" t="s">
        <v>107</v>
      </c>
      <c r="H50" s="5">
        <f t="shared" ref="H50:M50" si="16">SUBTOTAL(9,H3:H49)</f>
        <v>81</v>
      </c>
      <c r="I50" s="5">
        <f t="shared" si="16"/>
        <v>2518</v>
      </c>
      <c r="J50" s="7">
        <f t="shared" si="16"/>
        <v>283.5</v>
      </c>
      <c r="K50" s="7">
        <f t="shared" si="16"/>
        <v>2372.6</v>
      </c>
      <c r="L50" s="7">
        <f t="shared" si="16"/>
        <v>11280</v>
      </c>
      <c r="M50" s="10">
        <f t="shared" si="16"/>
        <v>13936.1</v>
      </c>
    </row>
  </sheetData>
  <mergeCells count="10">
    <mergeCell ref="L1:L2"/>
    <mergeCell ref="M1:M2"/>
    <mergeCell ref="D1:E1"/>
    <mergeCell ref="F1:G1"/>
    <mergeCell ref="H1:I1"/>
    <mergeCell ref="A1:A2"/>
    <mergeCell ref="B1:B2"/>
    <mergeCell ref="C1:C2"/>
    <mergeCell ref="J1:J2"/>
    <mergeCell ref="K1:K2"/>
  </mergeCells>
  <phoneticPr fontId="1" type="noConversion"/>
  <conditionalFormatting sqref="A1:XFD1048576">
    <cfRule type="cellIs" dxfId="2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O47"/>
  <sheetViews>
    <sheetView zoomScale="120" zoomScaleNormal="120" workbookViewId="0">
      <pane ySplit="2" topLeftCell="A24" activePane="bottomLeft" state="frozen"/>
      <selection activeCell="F38" sqref="F38"/>
      <selection pane="bottomLeft" activeCell="M42" sqref="M42"/>
    </sheetView>
  </sheetViews>
  <sheetFormatPr baseColWidth="10" defaultColWidth="10.85546875" defaultRowHeight="18"/>
  <cols>
    <col min="1" max="1" width="15.71093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1" width="9.42578125" style="7" bestFit="1" customWidth="1"/>
    <col min="12" max="12" width="9.85546875" style="7" bestFit="1" customWidth="1"/>
    <col min="13" max="13" width="12.28515625" style="8" bestFit="1" customWidth="1"/>
    <col min="14" max="14" width="9.42578125" style="5" bestFit="1" customWidth="1"/>
    <col min="15" max="15" width="46" style="5" bestFit="1" customWidth="1"/>
    <col min="16" max="16" width="23.140625" style="5" customWidth="1"/>
    <col min="17" max="16384" width="10.85546875" style="5"/>
  </cols>
  <sheetData>
    <row r="1" spans="1:15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6" t="s">
        <v>25</v>
      </c>
      <c r="N1" s="4" t="s">
        <v>26</v>
      </c>
    </row>
    <row r="2" spans="1:15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6"/>
      <c r="N2" s="4">
        <v>200</v>
      </c>
    </row>
    <row r="3" spans="1:15">
      <c r="A3" s="6">
        <v>44689</v>
      </c>
      <c r="B3" s="5" t="s">
        <v>145</v>
      </c>
      <c r="C3" s="5" t="s">
        <v>146</v>
      </c>
      <c r="D3" s="5">
        <v>378</v>
      </c>
      <c r="E3" s="5">
        <v>378</v>
      </c>
      <c r="F3" s="5">
        <v>1609</v>
      </c>
      <c r="G3" s="5">
        <v>1609</v>
      </c>
      <c r="H3" s="5">
        <f t="shared" ref="H3:H26" si="0">D3-E3</f>
        <v>0</v>
      </c>
      <c r="I3" s="5">
        <f t="shared" ref="I3:I26" si="1">F3-G3</f>
        <v>0</v>
      </c>
      <c r="J3" s="7">
        <f>H3*3.5</f>
        <v>0</v>
      </c>
      <c r="K3" s="7">
        <f>I3*0.9</f>
        <v>0</v>
      </c>
      <c r="L3" s="7">
        <v>200</v>
      </c>
      <c r="M3" s="8">
        <f t="shared" ref="M3:M26" si="2">J3+K3+L3</f>
        <v>200</v>
      </c>
    </row>
    <row r="4" spans="1:15">
      <c r="A4" s="6">
        <v>44720</v>
      </c>
      <c r="B4" s="5" t="s">
        <v>145</v>
      </c>
      <c r="C4" s="5" t="s">
        <v>146</v>
      </c>
      <c r="D4" s="5">
        <v>380</v>
      </c>
      <c r="E4" s="5">
        <v>378</v>
      </c>
      <c r="F4" s="5">
        <v>1689</v>
      </c>
      <c r="G4" s="5">
        <v>1609</v>
      </c>
      <c r="H4" s="5">
        <f t="shared" si="0"/>
        <v>2</v>
      </c>
      <c r="I4" s="5">
        <f t="shared" si="1"/>
        <v>80</v>
      </c>
      <c r="J4" s="7">
        <f t="shared" ref="J4:J26" si="3">H4*3.5</f>
        <v>7</v>
      </c>
      <c r="K4" s="7">
        <f t="shared" ref="K4:K18" si="4">I4*0.9</f>
        <v>72</v>
      </c>
      <c r="L4" s="7">
        <v>200</v>
      </c>
      <c r="M4" s="8">
        <f t="shared" si="2"/>
        <v>279</v>
      </c>
    </row>
    <row r="5" spans="1:15">
      <c r="A5" s="6">
        <v>44750</v>
      </c>
      <c r="B5" s="5" t="s">
        <v>145</v>
      </c>
      <c r="C5" s="5" t="s">
        <v>146</v>
      </c>
      <c r="D5" s="5">
        <v>388</v>
      </c>
      <c r="E5" s="5">
        <v>380</v>
      </c>
      <c r="F5" s="5">
        <v>1811</v>
      </c>
      <c r="G5" s="5">
        <v>1689</v>
      </c>
      <c r="H5" s="5">
        <f t="shared" si="0"/>
        <v>8</v>
      </c>
      <c r="I5" s="5">
        <f t="shared" si="1"/>
        <v>122</v>
      </c>
      <c r="J5" s="7">
        <f t="shared" si="3"/>
        <v>28</v>
      </c>
      <c r="K5" s="7">
        <f t="shared" si="4"/>
        <v>109.8</v>
      </c>
      <c r="L5" s="7">
        <v>200</v>
      </c>
      <c r="M5" s="8">
        <f t="shared" si="2"/>
        <v>337.8</v>
      </c>
    </row>
    <row r="6" spans="1:15">
      <c r="A6" s="6">
        <v>44781</v>
      </c>
      <c r="B6" s="5" t="s">
        <v>145</v>
      </c>
      <c r="C6" s="5" t="s">
        <v>146</v>
      </c>
      <c r="D6" s="5">
        <v>392</v>
      </c>
      <c r="E6" s="5">
        <v>388</v>
      </c>
      <c r="F6" s="5">
        <v>1895</v>
      </c>
      <c r="G6" s="5">
        <v>1811</v>
      </c>
      <c r="H6" s="5">
        <f t="shared" si="0"/>
        <v>4</v>
      </c>
      <c r="I6" s="5">
        <f t="shared" si="1"/>
        <v>84</v>
      </c>
      <c r="J6" s="7">
        <f t="shared" si="3"/>
        <v>14</v>
      </c>
      <c r="K6" s="7">
        <f t="shared" si="4"/>
        <v>75.600000000000009</v>
      </c>
      <c r="L6" s="7">
        <v>200</v>
      </c>
      <c r="M6" s="8">
        <f t="shared" si="2"/>
        <v>289.60000000000002</v>
      </c>
    </row>
    <row r="7" spans="1:15">
      <c r="A7" s="6">
        <v>44812</v>
      </c>
      <c r="B7" s="5" t="s">
        <v>145</v>
      </c>
      <c r="C7" s="5" t="s">
        <v>146</v>
      </c>
      <c r="D7" s="5">
        <v>0</v>
      </c>
      <c r="E7" s="5">
        <v>0</v>
      </c>
      <c r="F7" s="5">
        <v>0</v>
      </c>
      <c r="G7" s="5">
        <v>0</v>
      </c>
      <c r="H7" s="5">
        <f t="shared" si="0"/>
        <v>0</v>
      </c>
      <c r="I7" s="5">
        <f t="shared" si="1"/>
        <v>0</v>
      </c>
      <c r="J7" s="7">
        <f t="shared" si="3"/>
        <v>0</v>
      </c>
      <c r="K7" s="7">
        <f t="shared" si="4"/>
        <v>0</v>
      </c>
      <c r="L7" s="7">
        <v>200</v>
      </c>
      <c r="M7" s="8">
        <f t="shared" si="2"/>
        <v>200</v>
      </c>
    </row>
    <row r="8" spans="1:15">
      <c r="A8" s="6">
        <v>44842</v>
      </c>
      <c r="B8" s="5" t="s">
        <v>145</v>
      </c>
      <c r="C8" s="5" t="s">
        <v>146</v>
      </c>
      <c r="D8" s="5">
        <v>0</v>
      </c>
      <c r="E8" s="5">
        <v>0</v>
      </c>
      <c r="F8" s="5">
        <v>0</v>
      </c>
      <c r="G8" s="5">
        <v>0</v>
      </c>
      <c r="H8" s="5">
        <f t="shared" si="0"/>
        <v>0</v>
      </c>
      <c r="I8" s="5">
        <f t="shared" si="1"/>
        <v>0</v>
      </c>
      <c r="J8" s="7">
        <f t="shared" si="3"/>
        <v>0</v>
      </c>
      <c r="K8" s="7">
        <f t="shared" si="4"/>
        <v>0</v>
      </c>
      <c r="L8" s="7">
        <v>200</v>
      </c>
      <c r="M8" s="8">
        <f t="shared" si="2"/>
        <v>200</v>
      </c>
    </row>
    <row r="9" spans="1:15">
      <c r="A9" s="6">
        <v>44873</v>
      </c>
      <c r="B9" s="5" t="s">
        <v>145</v>
      </c>
      <c r="C9" s="5" t="s">
        <v>146</v>
      </c>
      <c r="D9" s="5">
        <v>398</v>
      </c>
      <c r="E9" s="5">
        <v>392</v>
      </c>
      <c r="F9" s="5">
        <v>2030</v>
      </c>
      <c r="G9" s="5">
        <v>1895</v>
      </c>
      <c r="H9" s="5">
        <f t="shared" si="0"/>
        <v>6</v>
      </c>
      <c r="I9" s="5">
        <f t="shared" si="1"/>
        <v>135</v>
      </c>
      <c r="J9" s="7">
        <f t="shared" si="3"/>
        <v>21</v>
      </c>
      <c r="K9" s="7">
        <f t="shared" si="4"/>
        <v>121.5</v>
      </c>
      <c r="L9" s="7">
        <v>200</v>
      </c>
      <c r="M9" s="8">
        <f t="shared" si="2"/>
        <v>342.5</v>
      </c>
    </row>
    <row r="10" spans="1:15">
      <c r="A10" s="6">
        <v>44903</v>
      </c>
      <c r="B10" s="5" t="s">
        <v>145</v>
      </c>
      <c r="C10" s="5" t="s">
        <v>146</v>
      </c>
      <c r="D10" s="5">
        <v>400</v>
      </c>
      <c r="E10" s="5">
        <v>398</v>
      </c>
      <c r="F10" s="5">
        <v>2109</v>
      </c>
      <c r="G10" s="5">
        <v>2030</v>
      </c>
      <c r="H10" s="5">
        <f t="shared" si="0"/>
        <v>2</v>
      </c>
      <c r="I10" s="5">
        <f t="shared" si="1"/>
        <v>79</v>
      </c>
      <c r="J10" s="7">
        <f t="shared" si="3"/>
        <v>7</v>
      </c>
      <c r="K10" s="7">
        <f t="shared" si="4"/>
        <v>71.100000000000009</v>
      </c>
      <c r="L10" s="7">
        <v>200</v>
      </c>
      <c r="M10" s="8">
        <f t="shared" si="2"/>
        <v>278.10000000000002</v>
      </c>
    </row>
    <row r="11" spans="1:15">
      <c r="A11" s="6">
        <v>44934</v>
      </c>
      <c r="B11" s="5" t="s">
        <v>145</v>
      </c>
      <c r="C11" s="5" t="s">
        <v>146</v>
      </c>
      <c r="D11" s="5">
        <v>404</v>
      </c>
      <c r="E11" s="5">
        <v>400</v>
      </c>
      <c r="F11" s="5">
        <v>2206</v>
      </c>
      <c r="G11" s="5">
        <v>2109</v>
      </c>
      <c r="H11" s="5">
        <f t="shared" si="0"/>
        <v>4</v>
      </c>
      <c r="I11" s="5">
        <f t="shared" si="1"/>
        <v>97</v>
      </c>
      <c r="J11" s="7">
        <f t="shared" si="3"/>
        <v>14</v>
      </c>
      <c r="K11" s="7">
        <f t="shared" si="4"/>
        <v>87.3</v>
      </c>
      <c r="L11" s="7">
        <v>200</v>
      </c>
      <c r="M11" s="8">
        <f t="shared" si="2"/>
        <v>301.3</v>
      </c>
    </row>
    <row r="12" spans="1:15">
      <c r="A12" s="6">
        <v>44965</v>
      </c>
      <c r="B12" s="5" t="s">
        <v>145</v>
      </c>
      <c r="C12" s="5" t="s">
        <v>146</v>
      </c>
      <c r="D12" s="5">
        <v>406</v>
      </c>
      <c r="E12" s="5">
        <v>404</v>
      </c>
      <c r="F12" s="5">
        <v>2228</v>
      </c>
      <c r="G12" s="5">
        <v>2206</v>
      </c>
      <c r="H12" s="5">
        <f t="shared" si="0"/>
        <v>2</v>
      </c>
      <c r="I12" s="5">
        <f t="shared" si="1"/>
        <v>22</v>
      </c>
      <c r="J12" s="7">
        <f t="shared" si="3"/>
        <v>7</v>
      </c>
      <c r="K12" s="7">
        <f t="shared" si="4"/>
        <v>19.8</v>
      </c>
      <c r="L12" s="7">
        <v>100</v>
      </c>
      <c r="M12" s="8">
        <f t="shared" si="2"/>
        <v>126.8</v>
      </c>
      <c r="O12" s="5" t="s">
        <v>147</v>
      </c>
    </row>
    <row r="13" spans="1:15">
      <c r="A13" s="6">
        <v>44993</v>
      </c>
      <c r="B13" s="5" t="s">
        <v>145</v>
      </c>
      <c r="C13" s="5" t="s">
        <v>148</v>
      </c>
      <c r="D13" s="5">
        <v>406</v>
      </c>
      <c r="E13" s="5">
        <v>406</v>
      </c>
      <c r="F13" s="5">
        <v>2228</v>
      </c>
      <c r="G13" s="5">
        <v>2228</v>
      </c>
      <c r="H13" s="5">
        <f t="shared" si="0"/>
        <v>0</v>
      </c>
      <c r="I13" s="5">
        <f t="shared" si="1"/>
        <v>0</v>
      </c>
      <c r="J13" s="7">
        <f t="shared" si="3"/>
        <v>0</v>
      </c>
      <c r="K13" s="7">
        <f t="shared" si="4"/>
        <v>0</v>
      </c>
      <c r="L13" s="7">
        <v>210</v>
      </c>
      <c r="M13" s="8">
        <f t="shared" si="2"/>
        <v>210</v>
      </c>
    </row>
    <row r="14" spans="1:15">
      <c r="A14" s="6">
        <v>45024</v>
      </c>
      <c r="B14" s="5" t="s">
        <v>145</v>
      </c>
      <c r="C14" s="5" t="s">
        <v>148</v>
      </c>
      <c r="D14" s="5">
        <v>408</v>
      </c>
      <c r="E14" s="5">
        <v>406</v>
      </c>
      <c r="F14" s="5">
        <v>2264</v>
      </c>
      <c r="G14" s="5">
        <v>2228</v>
      </c>
      <c r="H14" s="5">
        <f t="shared" si="0"/>
        <v>2</v>
      </c>
      <c r="I14" s="5">
        <f t="shared" si="1"/>
        <v>36</v>
      </c>
      <c r="J14" s="7">
        <f t="shared" si="3"/>
        <v>7</v>
      </c>
      <c r="K14" s="7">
        <f t="shared" si="4"/>
        <v>32.4</v>
      </c>
      <c r="L14" s="7">
        <v>210</v>
      </c>
      <c r="M14" s="8">
        <f t="shared" si="2"/>
        <v>249.4</v>
      </c>
    </row>
    <row r="15" spans="1:15">
      <c r="A15" s="6">
        <v>45054</v>
      </c>
      <c r="B15" s="5" t="s">
        <v>145</v>
      </c>
      <c r="C15" s="5" t="s">
        <v>148</v>
      </c>
      <c r="D15" s="5">
        <v>0</v>
      </c>
      <c r="E15" s="5">
        <v>0</v>
      </c>
      <c r="F15" s="5">
        <v>0</v>
      </c>
      <c r="G15" s="5">
        <v>0</v>
      </c>
      <c r="H15" s="5">
        <f t="shared" si="0"/>
        <v>0</v>
      </c>
      <c r="I15" s="5">
        <f t="shared" si="1"/>
        <v>0</v>
      </c>
      <c r="J15" s="7">
        <f t="shared" si="3"/>
        <v>0</v>
      </c>
      <c r="K15" s="7">
        <f t="shared" si="4"/>
        <v>0</v>
      </c>
      <c r="L15" s="7">
        <v>210</v>
      </c>
      <c r="M15" s="8">
        <f t="shared" si="2"/>
        <v>210</v>
      </c>
    </row>
    <row r="16" spans="1:15">
      <c r="A16" s="6">
        <v>45085</v>
      </c>
      <c r="B16" s="5" t="s">
        <v>145</v>
      </c>
      <c r="C16" s="5" t="s">
        <v>148</v>
      </c>
      <c r="D16" s="5">
        <v>409</v>
      </c>
      <c r="E16" s="5">
        <v>408</v>
      </c>
      <c r="F16" s="5">
        <v>2289</v>
      </c>
      <c r="G16" s="5">
        <v>2264</v>
      </c>
      <c r="H16" s="5">
        <f t="shared" si="0"/>
        <v>1</v>
      </c>
      <c r="I16" s="5">
        <f t="shared" si="1"/>
        <v>25</v>
      </c>
      <c r="J16" s="7">
        <f t="shared" si="3"/>
        <v>3.5</v>
      </c>
      <c r="K16" s="7">
        <f t="shared" si="4"/>
        <v>22.5</v>
      </c>
      <c r="L16" s="7">
        <v>210</v>
      </c>
      <c r="M16" s="8">
        <f t="shared" si="2"/>
        <v>236</v>
      </c>
      <c r="O16" s="5" t="s">
        <v>149</v>
      </c>
    </row>
    <row r="17" spans="1:15">
      <c r="A17" s="6">
        <v>45175</v>
      </c>
      <c r="B17" s="5" t="s">
        <v>145</v>
      </c>
      <c r="C17" s="5" t="s">
        <v>150</v>
      </c>
      <c r="D17" s="5">
        <v>3</v>
      </c>
      <c r="E17" s="5">
        <v>1</v>
      </c>
      <c r="F17" s="5">
        <v>2296</v>
      </c>
      <c r="G17" s="5">
        <v>2289</v>
      </c>
      <c r="H17" s="5">
        <f t="shared" si="0"/>
        <v>2</v>
      </c>
      <c r="I17" s="5">
        <f t="shared" si="1"/>
        <v>7</v>
      </c>
      <c r="J17" s="7">
        <f t="shared" si="3"/>
        <v>7</v>
      </c>
      <c r="K17" s="7">
        <f t="shared" si="4"/>
        <v>6.3</v>
      </c>
      <c r="L17" s="7">
        <v>220</v>
      </c>
      <c r="M17" s="8">
        <f t="shared" si="2"/>
        <v>233.3</v>
      </c>
    </row>
    <row r="18" spans="1:15">
      <c r="A18" s="6">
        <v>45205</v>
      </c>
      <c r="B18" s="5" t="s">
        <v>145</v>
      </c>
      <c r="C18" s="5" t="s">
        <v>150</v>
      </c>
      <c r="D18" s="5">
        <v>5</v>
      </c>
      <c r="E18" s="5">
        <v>3</v>
      </c>
      <c r="F18" s="5">
        <v>2309</v>
      </c>
      <c r="G18" s="5">
        <v>2296</v>
      </c>
      <c r="H18" s="5">
        <f t="shared" si="0"/>
        <v>2</v>
      </c>
      <c r="I18" s="5">
        <f t="shared" si="1"/>
        <v>13</v>
      </c>
      <c r="J18" s="7">
        <f t="shared" si="3"/>
        <v>7</v>
      </c>
      <c r="K18" s="7">
        <f t="shared" si="4"/>
        <v>11.700000000000001</v>
      </c>
      <c r="L18" s="7">
        <v>220</v>
      </c>
      <c r="M18" s="8">
        <f t="shared" si="2"/>
        <v>238.7</v>
      </c>
    </row>
    <row r="19" spans="1:15">
      <c r="A19" s="6">
        <v>45236</v>
      </c>
      <c r="B19" s="5" t="s">
        <v>145</v>
      </c>
      <c r="C19" s="5" t="s">
        <v>150</v>
      </c>
      <c r="D19" s="5">
        <v>0</v>
      </c>
      <c r="E19" s="5">
        <v>0</v>
      </c>
      <c r="F19" s="5">
        <v>2324</v>
      </c>
      <c r="G19" s="5">
        <v>2309</v>
      </c>
      <c r="H19" s="5">
        <f t="shared" si="0"/>
        <v>0</v>
      </c>
      <c r="I19" s="5">
        <f t="shared" si="1"/>
        <v>15</v>
      </c>
      <c r="J19" s="7">
        <f t="shared" si="3"/>
        <v>0</v>
      </c>
      <c r="K19" s="7">
        <f>I19*1</f>
        <v>15</v>
      </c>
      <c r="L19" s="7">
        <v>220</v>
      </c>
      <c r="M19" s="8">
        <f t="shared" si="2"/>
        <v>235</v>
      </c>
    </row>
    <row r="20" spans="1:15">
      <c r="A20" s="6">
        <v>45266</v>
      </c>
      <c r="B20" s="5" t="s">
        <v>145</v>
      </c>
      <c r="C20" s="5" t="s">
        <v>150</v>
      </c>
      <c r="D20" s="5">
        <v>10</v>
      </c>
      <c r="E20" s="5">
        <v>5</v>
      </c>
      <c r="F20" s="5">
        <v>2340</v>
      </c>
      <c r="G20" s="5">
        <v>2324</v>
      </c>
      <c r="H20" s="5">
        <f t="shared" si="0"/>
        <v>5</v>
      </c>
      <c r="I20" s="5">
        <f t="shared" si="1"/>
        <v>16</v>
      </c>
      <c r="J20" s="7">
        <f t="shared" si="3"/>
        <v>17.5</v>
      </c>
      <c r="K20" s="7">
        <f t="shared" ref="K20:K26" si="5">I20*1</f>
        <v>16</v>
      </c>
      <c r="L20" s="7">
        <v>220</v>
      </c>
      <c r="M20" s="8">
        <f t="shared" si="2"/>
        <v>253.5</v>
      </c>
    </row>
    <row r="21" spans="1:15">
      <c r="A21" s="6">
        <v>45297</v>
      </c>
      <c r="B21" s="5" t="s">
        <v>145</v>
      </c>
      <c r="C21" s="5" t="s">
        <v>150</v>
      </c>
      <c r="D21" s="5">
        <v>14</v>
      </c>
      <c r="E21" s="5">
        <v>10</v>
      </c>
      <c r="F21" s="5">
        <v>2360</v>
      </c>
      <c r="G21" s="5">
        <v>2340</v>
      </c>
      <c r="H21" s="5">
        <f t="shared" si="0"/>
        <v>4</v>
      </c>
      <c r="I21" s="5">
        <f t="shared" si="1"/>
        <v>20</v>
      </c>
      <c r="J21" s="7">
        <f t="shared" si="3"/>
        <v>14</v>
      </c>
      <c r="K21" s="7">
        <f t="shared" si="5"/>
        <v>20</v>
      </c>
      <c r="L21" s="7">
        <v>220</v>
      </c>
      <c r="M21" s="8">
        <f t="shared" si="2"/>
        <v>254</v>
      </c>
    </row>
    <row r="22" spans="1:15">
      <c r="A22" s="6">
        <v>45328</v>
      </c>
      <c r="B22" s="5" t="s">
        <v>145</v>
      </c>
      <c r="C22" s="5" t="s">
        <v>150</v>
      </c>
      <c r="D22" s="5">
        <v>0</v>
      </c>
      <c r="E22" s="5">
        <v>0</v>
      </c>
      <c r="F22" s="5">
        <v>2386</v>
      </c>
      <c r="G22" s="5">
        <v>2360</v>
      </c>
      <c r="H22" s="5">
        <f t="shared" si="0"/>
        <v>0</v>
      </c>
      <c r="I22" s="5">
        <f t="shared" si="1"/>
        <v>26</v>
      </c>
      <c r="J22" s="7">
        <f t="shared" si="3"/>
        <v>0</v>
      </c>
      <c r="K22" s="7">
        <f t="shared" si="5"/>
        <v>26</v>
      </c>
      <c r="L22" s="7">
        <v>220</v>
      </c>
      <c r="M22" s="8">
        <f t="shared" si="2"/>
        <v>246</v>
      </c>
    </row>
    <row r="23" spans="1:15">
      <c r="A23" s="6">
        <v>45357</v>
      </c>
      <c r="B23" s="5" t="s">
        <v>145</v>
      </c>
      <c r="C23" s="5" t="s">
        <v>150</v>
      </c>
      <c r="D23" s="5">
        <v>16</v>
      </c>
      <c r="E23" s="5">
        <v>14</v>
      </c>
      <c r="F23" s="5">
        <v>2395</v>
      </c>
      <c r="G23" s="5">
        <v>2386</v>
      </c>
      <c r="H23" s="5">
        <f t="shared" si="0"/>
        <v>2</v>
      </c>
      <c r="I23" s="5">
        <f t="shared" si="1"/>
        <v>9</v>
      </c>
      <c r="J23" s="7">
        <f t="shared" si="3"/>
        <v>7</v>
      </c>
      <c r="K23" s="7">
        <f t="shared" si="5"/>
        <v>9</v>
      </c>
      <c r="L23" s="7">
        <v>220</v>
      </c>
      <c r="M23" s="8">
        <f t="shared" si="2"/>
        <v>236</v>
      </c>
    </row>
    <row r="24" spans="1:15">
      <c r="A24" s="6">
        <v>45388</v>
      </c>
      <c r="B24" s="5" t="s">
        <v>145</v>
      </c>
      <c r="C24" s="5" t="s">
        <v>150</v>
      </c>
      <c r="D24" s="5">
        <v>0</v>
      </c>
      <c r="E24" s="5">
        <v>0</v>
      </c>
      <c r="F24" s="5">
        <v>2416</v>
      </c>
      <c r="G24" s="5">
        <v>2395</v>
      </c>
      <c r="H24" s="5">
        <f t="shared" si="0"/>
        <v>0</v>
      </c>
      <c r="I24" s="5">
        <f t="shared" si="1"/>
        <v>21</v>
      </c>
      <c r="J24" s="7">
        <f t="shared" si="3"/>
        <v>0</v>
      </c>
      <c r="K24" s="7">
        <f t="shared" si="5"/>
        <v>21</v>
      </c>
      <c r="L24" s="7">
        <v>220</v>
      </c>
      <c r="M24" s="8">
        <f t="shared" si="2"/>
        <v>241</v>
      </c>
    </row>
    <row r="25" spans="1:15">
      <c r="A25" s="6">
        <v>45418</v>
      </c>
      <c r="B25" s="5" t="s">
        <v>145</v>
      </c>
      <c r="C25" s="5" t="s">
        <v>150</v>
      </c>
      <c r="D25" s="5">
        <v>20</v>
      </c>
      <c r="E25" s="5">
        <v>16</v>
      </c>
      <c r="F25" s="5">
        <v>2434</v>
      </c>
      <c r="G25" s="5">
        <v>2416</v>
      </c>
      <c r="H25" s="5">
        <f t="shared" si="0"/>
        <v>4</v>
      </c>
      <c r="I25" s="5">
        <f t="shared" si="1"/>
        <v>18</v>
      </c>
      <c r="J25" s="7">
        <f t="shared" si="3"/>
        <v>14</v>
      </c>
      <c r="K25" s="7">
        <f t="shared" si="5"/>
        <v>18</v>
      </c>
      <c r="L25" s="7">
        <v>220</v>
      </c>
      <c r="M25" s="8">
        <f t="shared" si="2"/>
        <v>252</v>
      </c>
    </row>
    <row r="26" spans="1:15">
      <c r="A26" s="6">
        <v>45449</v>
      </c>
      <c r="B26" s="5" t="s">
        <v>145</v>
      </c>
      <c r="C26" s="5" t="s">
        <v>150</v>
      </c>
      <c r="D26" s="5">
        <v>21</v>
      </c>
      <c r="E26" s="5">
        <v>20</v>
      </c>
      <c r="F26" s="5">
        <v>2450</v>
      </c>
      <c r="G26" s="5">
        <v>2434</v>
      </c>
      <c r="H26" s="5">
        <f t="shared" si="0"/>
        <v>1</v>
      </c>
      <c r="I26" s="5">
        <f t="shared" si="1"/>
        <v>16</v>
      </c>
      <c r="J26" s="7">
        <f t="shared" si="3"/>
        <v>3.5</v>
      </c>
      <c r="K26" s="7">
        <f t="shared" si="5"/>
        <v>16</v>
      </c>
      <c r="L26" s="7">
        <v>220</v>
      </c>
      <c r="M26" s="8">
        <f t="shared" si="2"/>
        <v>239.5</v>
      </c>
    </row>
    <row r="27" spans="1:15">
      <c r="A27" s="6">
        <v>45692</v>
      </c>
      <c r="B27" s="5" t="s">
        <v>15</v>
      </c>
      <c r="C27" s="5" t="s">
        <v>64</v>
      </c>
      <c r="D27" s="5">
        <v>22</v>
      </c>
      <c r="E27" s="5">
        <v>22</v>
      </c>
      <c r="F27" s="5">
        <v>2452</v>
      </c>
      <c r="G27" s="5">
        <v>2452</v>
      </c>
      <c r="H27" s="5">
        <f t="shared" ref="H27:H32" si="6">D27-E27</f>
        <v>0</v>
      </c>
      <c r="I27" s="5">
        <f t="shared" ref="I27:I32" si="7">F27-G27</f>
        <v>0</v>
      </c>
      <c r="J27" s="7">
        <f t="shared" ref="J27:J32" si="8">H27*3.5</f>
        <v>0</v>
      </c>
      <c r="K27" s="7">
        <f t="shared" ref="K27:K32" si="9">I27*1</f>
        <v>0</v>
      </c>
      <c r="L27" s="7">
        <v>230</v>
      </c>
      <c r="M27" s="8">
        <f t="shared" ref="M27:M42" si="10">J27+K27+L27</f>
        <v>230</v>
      </c>
    </row>
    <row r="28" spans="1:15">
      <c r="A28" s="6">
        <v>45717</v>
      </c>
      <c r="B28" s="5" t="s">
        <v>15</v>
      </c>
      <c r="C28" s="5" t="s">
        <v>64</v>
      </c>
      <c r="D28" s="5">
        <v>0</v>
      </c>
      <c r="E28" s="5">
        <v>0</v>
      </c>
      <c r="F28" s="5">
        <v>0</v>
      </c>
      <c r="G28" s="5">
        <v>0</v>
      </c>
      <c r="H28" s="5">
        <f t="shared" si="6"/>
        <v>0</v>
      </c>
      <c r="I28" s="5">
        <f t="shared" si="7"/>
        <v>0</v>
      </c>
      <c r="J28" s="7">
        <f t="shared" si="8"/>
        <v>0</v>
      </c>
      <c r="K28" s="7">
        <f t="shared" si="9"/>
        <v>0</v>
      </c>
      <c r="L28" s="7">
        <v>230</v>
      </c>
      <c r="M28" s="8">
        <f t="shared" si="10"/>
        <v>230</v>
      </c>
    </row>
    <row r="29" spans="1:15">
      <c r="A29" s="6">
        <v>45748</v>
      </c>
      <c r="B29" s="5" t="s">
        <v>15</v>
      </c>
      <c r="C29" s="5" t="s">
        <v>64</v>
      </c>
      <c r="D29" s="5">
        <v>0</v>
      </c>
      <c r="E29" s="5">
        <v>0</v>
      </c>
      <c r="F29" s="5">
        <v>0</v>
      </c>
      <c r="G29" s="5">
        <v>0</v>
      </c>
      <c r="H29" s="5">
        <f t="shared" si="6"/>
        <v>0</v>
      </c>
      <c r="I29" s="5">
        <f t="shared" si="7"/>
        <v>0</v>
      </c>
      <c r="J29" s="7">
        <f t="shared" si="8"/>
        <v>0</v>
      </c>
      <c r="K29" s="7">
        <f t="shared" si="9"/>
        <v>0</v>
      </c>
      <c r="L29" s="7">
        <v>230</v>
      </c>
      <c r="M29" s="8">
        <f t="shared" si="10"/>
        <v>230</v>
      </c>
    </row>
    <row r="30" spans="1:15">
      <c r="A30" s="6">
        <v>45778</v>
      </c>
      <c r="B30" s="5" t="s">
        <v>15</v>
      </c>
      <c r="C30" s="5" t="s">
        <v>64</v>
      </c>
      <c r="D30" s="5">
        <v>0</v>
      </c>
      <c r="E30" s="5">
        <v>0</v>
      </c>
      <c r="F30" s="5">
        <v>2467</v>
      </c>
      <c r="G30" s="5">
        <v>2452</v>
      </c>
      <c r="H30" s="5">
        <f t="shared" si="6"/>
        <v>0</v>
      </c>
      <c r="I30" s="5">
        <f t="shared" si="7"/>
        <v>15</v>
      </c>
      <c r="J30" s="7">
        <f t="shared" si="8"/>
        <v>0</v>
      </c>
      <c r="K30" s="7">
        <f t="shared" si="9"/>
        <v>15</v>
      </c>
      <c r="L30" s="7">
        <v>230</v>
      </c>
      <c r="M30" s="8">
        <f t="shared" si="10"/>
        <v>245</v>
      </c>
      <c r="O30" s="5" t="s">
        <v>151</v>
      </c>
    </row>
    <row r="31" spans="1:15">
      <c r="A31" s="6">
        <v>45809</v>
      </c>
      <c r="B31" s="5" t="s">
        <v>15</v>
      </c>
      <c r="C31" s="5" t="s">
        <v>64</v>
      </c>
      <c r="D31" s="5">
        <v>0</v>
      </c>
      <c r="E31" s="5">
        <v>0</v>
      </c>
      <c r="F31" s="5">
        <v>0</v>
      </c>
      <c r="G31" s="5">
        <v>0</v>
      </c>
      <c r="H31" s="5">
        <f t="shared" si="6"/>
        <v>0</v>
      </c>
      <c r="I31" s="5">
        <f t="shared" si="7"/>
        <v>0</v>
      </c>
      <c r="J31" s="7">
        <f t="shared" si="8"/>
        <v>0</v>
      </c>
      <c r="K31" s="7">
        <f t="shared" si="9"/>
        <v>0</v>
      </c>
      <c r="L31" s="7">
        <v>230</v>
      </c>
      <c r="M31" s="8">
        <f t="shared" si="10"/>
        <v>230</v>
      </c>
    </row>
    <row r="32" spans="1:15">
      <c r="A32" s="6">
        <v>45839</v>
      </c>
      <c r="B32" s="5" t="s">
        <v>15</v>
      </c>
      <c r="C32" s="5" t="s">
        <v>64</v>
      </c>
      <c r="D32" s="5">
        <v>0</v>
      </c>
      <c r="E32" s="5">
        <v>0</v>
      </c>
      <c r="F32" s="5">
        <v>0</v>
      </c>
      <c r="G32" s="5">
        <v>0</v>
      </c>
      <c r="H32" s="5">
        <f t="shared" si="6"/>
        <v>0</v>
      </c>
      <c r="I32" s="5">
        <f t="shared" si="7"/>
        <v>0</v>
      </c>
      <c r="J32" s="7">
        <f t="shared" si="8"/>
        <v>0</v>
      </c>
      <c r="K32" s="7">
        <f t="shared" si="9"/>
        <v>0</v>
      </c>
      <c r="L32" s="7">
        <v>230</v>
      </c>
      <c r="M32" s="8">
        <f t="shared" si="10"/>
        <v>230</v>
      </c>
    </row>
    <row r="33" spans="1:15">
      <c r="A33" s="6">
        <v>45870</v>
      </c>
      <c r="B33" s="5" t="s">
        <v>84</v>
      </c>
      <c r="C33" s="5" t="s">
        <v>64</v>
      </c>
      <c r="D33" s="5">
        <v>0</v>
      </c>
      <c r="E33" s="5">
        <v>0</v>
      </c>
      <c r="F33" s="5">
        <v>0</v>
      </c>
      <c r="G33" s="5">
        <v>0</v>
      </c>
      <c r="H33" s="5">
        <f t="shared" ref="H33:H42" si="11">D33-E33</f>
        <v>0</v>
      </c>
      <c r="I33" s="5">
        <f t="shared" ref="I33:I42" si="12">F33-G33</f>
        <v>0</v>
      </c>
      <c r="J33" s="7">
        <f t="shared" ref="J33:J42" si="13">H33*3.5</f>
        <v>0</v>
      </c>
      <c r="K33" s="7">
        <f t="shared" ref="K33:K42" si="14">I33*1</f>
        <v>0</v>
      </c>
      <c r="L33" s="7">
        <v>230</v>
      </c>
      <c r="M33" s="8">
        <f t="shared" si="10"/>
        <v>230</v>
      </c>
    </row>
    <row r="34" spans="1:15">
      <c r="A34" s="6">
        <v>45901</v>
      </c>
      <c r="B34" s="5" t="s">
        <v>84</v>
      </c>
      <c r="C34" s="5" t="s">
        <v>64</v>
      </c>
      <c r="D34" s="5">
        <v>0</v>
      </c>
      <c r="E34" s="5">
        <v>0</v>
      </c>
      <c r="F34" s="5">
        <v>0</v>
      </c>
      <c r="G34" s="5">
        <v>0</v>
      </c>
      <c r="H34" s="5">
        <f t="shared" si="11"/>
        <v>0</v>
      </c>
      <c r="I34" s="5">
        <f t="shared" si="12"/>
        <v>0</v>
      </c>
      <c r="J34" s="7">
        <f t="shared" si="13"/>
        <v>0</v>
      </c>
      <c r="K34" s="7">
        <f t="shared" si="14"/>
        <v>0</v>
      </c>
      <c r="L34" s="7">
        <v>230</v>
      </c>
      <c r="M34" s="8">
        <f t="shared" si="10"/>
        <v>230</v>
      </c>
    </row>
    <row r="35" spans="1:15">
      <c r="A35" s="6">
        <v>45931</v>
      </c>
      <c r="B35" s="5" t="s">
        <v>84</v>
      </c>
      <c r="C35" s="5" t="s">
        <v>280</v>
      </c>
      <c r="D35" s="5">
        <v>0</v>
      </c>
      <c r="E35" s="5">
        <v>0</v>
      </c>
      <c r="F35" s="5">
        <v>0</v>
      </c>
      <c r="G35" s="5">
        <v>0</v>
      </c>
      <c r="H35" s="5">
        <f t="shared" si="11"/>
        <v>0</v>
      </c>
      <c r="I35" s="5">
        <f t="shared" si="12"/>
        <v>0</v>
      </c>
      <c r="J35" s="7">
        <f t="shared" si="13"/>
        <v>0</v>
      </c>
      <c r="K35" s="7">
        <f t="shared" si="14"/>
        <v>0</v>
      </c>
      <c r="L35" s="7">
        <v>230</v>
      </c>
      <c r="M35" s="8">
        <f t="shared" si="10"/>
        <v>230</v>
      </c>
    </row>
    <row r="36" spans="1:15">
      <c r="A36" s="6">
        <v>45962</v>
      </c>
      <c r="B36" s="5" t="s">
        <v>84</v>
      </c>
      <c r="C36" s="5" t="s">
        <v>280</v>
      </c>
      <c r="D36" s="5">
        <v>0</v>
      </c>
      <c r="E36" s="5">
        <v>0</v>
      </c>
      <c r="F36" s="5">
        <v>0</v>
      </c>
      <c r="G36" s="5">
        <v>0</v>
      </c>
      <c r="H36" s="5">
        <f t="shared" si="11"/>
        <v>0</v>
      </c>
      <c r="I36" s="5">
        <f t="shared" si="12"/>
        <v>0</v>
      </c>
      <c r="J36" s="7">
        <f t="shared" si="13"/>
        <v>0</v>
      </c>
      <c r="K36" s="7">
        <f t="shared" si="14"/>
        <v>0</v>
      </c>
      <c r="L36" s="7">
        <v>230</v>
      </c>
      <c r="M36" s="8">
        <f t="shared" si="10"/>
        <v>230</v>
      </c>
    </row>
    <row r="37" spans="1:15">
      <c r="A37" s="6">
        <v>45992</v>
      </c>
      <c r="B37" s="5" t="s">
        <v>84</v>
      </c>
      <c r="C37" s="5" t="s">
        <v>280</v>
      </c>
      <c r="D37" s="5">
        <v>0</v>
      </c>
      <c r="E37" s="5">
        <v>0</v>
      </c>
      <c r="F37" s="5">
        <v>0</v>
      </c>
      <c r="G37" s="5">
        <v>0</v>
      </c>
      <c r="H37" s="5">
        <f t="shared" si="11"/>
        <v>0</v>
      </c>
      <c r="I37" s="5">
        <f t="shared" si="12"/>
        <v>0</v>
      </c>
      <c r="J37" s="7">
        <f t="shared" si="13"/>
        <v>0</v>
      </c>
      <c r="K37" s="7">
        <f t="shared" si="14"/>
        <v>0</v>
      </c>
      <c r="L37" s="7">
        <v>230</v>
      </c>
      <c r="M37" s="8">
        <f t="shared" si="10"/>
        <v>230</v>
      </c>
    </row>
    <row r="38" spans="1:15">
      <c r="A38" s="6">
        <v>46023</v>
      </c>
      <c r="B38" s="5" t="s">
        <v>84</v>
      </c>
      <c r="C38" s="5" t="s">
        <v>280</v>
      </c>
      <c r="D38" s="5">
        <v>0</v>
      </c>
      <c r="E38" s="5">
        <v>0</v>
      </c>
      <c r="F38" s="5">
        <v>0</v>
      </c>
      <c r="G38" s="5">
        <v>0</v>
      </c>
      <c r="H38" s="5">
        <f t="shared" si="11"/>
        <v>0</v>
      </c>
      <c r="I38" s="5">
        <f t="shared" si="12"/>
        <v>0</v>
      </c>
      <c r="J38" s="7">
        <f t="shared" si="13"/>
        <v>0</v>
      </c>
      <c r="K38" s="7">
        <f t="shared" si="14"/>
        <v>0</v>
      </c>
      <c r="L38" s="7">
        <v>230</v>
      </c>
      <c r="M38" s="8">
        <f t="shared" si="10"/>
        <v>230</v>
      </c>
    </row>
    <row r="39" spans="1:15">
      <c r="A39" s="6">
        <v>46034</v>
      </c>
      <c r="B39" s="5" t="s">
        <v>84</v>
      </c>
      <c r="C39" s="5" t="s">
        <v>280</v>
      </c>
      <c r="D39" s="5">
        <v>44</v>
      </c>
      <c r="E39" s="5">
        <v>22</v>
      </c>
      <c r="F39" s="5">
        <v>194</v>
      </c>
      <c r="G39" s="5">
        <v>0</v>
      </c>
      <c r="H39" s="5">
        <f t="shared" si="11"/>
        <v>22</v>
      </c>
      <c r="I39" s="5">
        <f t="shared" si="12"/>
        <v>194</v>
      </c>
      <c r="J39" s="7">
        <f t="shared" si="13"/>
        <v>77</v>
      </c>
      <c r="K39" s="7">
        <f t="shared" si="14"/>
        <v>194</v>
      </c>
      <c r="L39" s="7">
        <v>0</v>
      </c>
      <c r="M39" s="8">
        <f t="shared" si="10"/>
        <v>271</v>
      </c>
      <c r="O39" s="5" t="s">
        <v>295</v>
      </c>
    </row>
    <row r="40" spans="1:15">
      <c r="A40" s="6">
        <v>46045</v>
      </c>
      <c r="B40" s="5" t="s">
        <v>84</v>
      </c>
      <c r="C40" s="5" t="s">
        <v>280</v>
      </c>
      <c r="D40" s="5">
        <v>47</v>
      </c>
      <c r="E40" s="5">
        <v>44</v>
      </c>
      <c r="F40" s="5">
        <v>195</v>
      </c>
      <c r="G40" s="5">
        <v>194</v>
      </c>
      <c r="H40" s="5">
        <f t="shared" si="11"/>
        <v>3</v>
      </c>
      <c r="I40" s="5">
        <f t="shared" si="12"/>
        <v>1</v>
      </c>
      <c r="J40" s="7">
        <f t="shared" si="13"/>
        <v>10.5</v>
      </c>
      <c r="K40" s="7">
        <f t="shared" si="14"/>
        <v>1</v>
      </c>
      <c r="L40" s="7">
        <v>0</v>
      </c>
      <c r="M40" s="8">
        <f t="shared" si="10"/>
        <v>11.5</v>
      </c>
      <c r="O40" s="5" t="s">
        <v>297</v>
      </c>
    </row>
    <row r="41" spans="1:15">
      <c r="A41" s="6">
        <v>46091</v>
      </c>
      <c r="B41" s="5" t="s">
        <v>313</v>
      </c>
      <c r="C41" s="5" t="s">
        <v>314</v>
      </c>
      <c r="D41" s="5">
        <v>48</v>
      </c>
      <c r="E41" s="5">
        <v>48</v>
      </c>
      <c r="F41" s="5">
        <v>201</v>
      </c>
      <c r="G41" s="5">
        <v>201</v>
      </c>
      <c r="H41" s="5">
        <f t="shared" si="11"/>
        <v>0</v>
      </c>
      <c r="I41" s="5">
        <f t="shared" si="12"/>
        <v>0</v>
      </c>
      <c r="J41" s="7">
        <f t="shared" si="13"/>
        <v>0</v>
      </c>
      <c r="K41" s="7">
        <f t="shared" si="14"/>
        <v>0</v>
      </c>
      <c r="L41" s="7">
        <v>200</v>
      </c>
      <c r="M41" s="8">
        <f t="shared" si="10"/>
        <v>200</v>
      </c>
      <c r="O41" s="5" t="s">
        <v>315</v>
      </c>
    </row>
    <row r="42" spans="1:15">
      <c r="A42" s="6">
        <v>46113</v>
      </c>
      <c r="B42" s="5" t="s">
        <v>339</v>
      </c>
      <c r="C42" s="5" t="s">
        <v>314</v>
      </c>
      <c r="D42" s="5">
        <v>53</v>
      </c>
      <c r="E42" s="5">
        <v>48</v>
      </c>
      <c r="F42" s="5">
        <v>246</v>
      </c>
      <c r="G42" s="5">
        <v>201</v>
      </c>
      <c r="H42" s="5">
        <f t="shared" si="11"/>
        <v>5</v>
      </c>
      <c r="I42" s="5">
        <f t="shared" si="12"/>
        <v>45</v>
      </c>
      <c r="J42" s="7">
        <f t="shared" si="13"/>
        <v>17.5</v>
      </c>
      <c r="K42" s="7">
        <f t="shared" si="14"/>
        <v>45</v>
      </c>
      <c r="L42" s="7">
        <v>300</v>
      </c>
      <c r="M42" s="8">
        <f t="shared" si="10"/>
        <v>362.5</v>
      </c>
    </row>
    <row r="43" spans="1:15">
      <c r="A43" s="3" t="s">
        <v>108</v>
      </c>
      <c r="B43" s="4" t="s">
        <v>107</v>
      </c>
      <c r="C43" s="4" t="s">
        <v>107</v>
      </c>
      <c r="D43" s="4" t="s">
        <v>107</v>
      </c>
      <c r="E43" s="4" t="s">
        <v>107</v>
      </c>
      <c r="F43" s="4" t="s">
        <v>107</v>
      </c>
      <c r="G43" s="4" t="s">
        <v>107</v>
      </c>
      <c r="H43" s="5">
        <f>SUBTOTAL(9,H3:H42)</f>
        <v>81</v>
      </c>
      <c r="I43" s="5">
        <f>SUBTOTAL(9,I3:I42)</f>
        <v>1096</v>
      </c>
      <c r="J43" s="7">
        <f>SUBTOTAL(9,J3:J42)</f>
        <v>283.5</v>
      </c>
      <c r="K43" s="7">
        <f>SUBTOTAL(9,K3:K42)</f>
        <v>1026</v>
      </c>
      <c r="L43" s="7">
        <f>SUBTOTAL(9,L3:L42)</f>
        <v>8200</v>
      </c>
      <c r="M43" s="10">
        <f t="shared" ref="M43" si="15">SUBTOTAL(9,M3:M38)</f>
        <v>8664.5</v>
      </c>
    </row>
    <row r="47" spans="1:15" ht="20">
      <c r="F47" s="1"/>
    </row>
  </sheetData>
  <mergeCells count="10">
    <mergeCell ref="A1:A2"/>
    <mergeCell ref="B1:B2"/>
    <mergeCell ref="C1:C2"/>
    <mergeCell ref="D1:E1"/>
    <mergeCell ref="F1:G1"/>
    <mergeCell ref="H1:I1"/>
    <mergeCell ref="J1:J2"/>
    <mergeCell ref="K1:K2"/>
    <mergeCell ref="L1:L2"/>
    <mergeCell ref="M1:M2"/>
  </mergeCells>
  <phoneticPr fontId="1" type="noConversion"/>
  <conditionalFormatting sqref="A1:XFD1048576">
    <cfRule type="cellIs" dxfId="1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O56"/>
  <sheetViews>
    <sheetView topLeftCell="B1" zoomScale="120" zoomScaleNormal="120" workbookViewId="0">
      <pane ySplit="2" topLeftCell="A44" activePane="bottomLeft" state="frozen"/>
      <selection activeCell="F38" sqref="F38"/>
      <selection pane="bottomLeft" activeCell="M46" sqref="M46"/>
    </sheetView>
  </sheetViews>
  <sheetFormatPr baseColWidth="10" defaultColWidth="10.85546875" defaultRowHeight="18"/>
  <cols>
    <col min="1" max="1" width="16.85546875" style="6" bestFit="1" customWidth="1"/>
    <col min="2" max="2" width="9.42578125" style="5" bestFit="1" customWidth="1"/>
    <col min="3" max="3" width="11.5703125" style="5" bestFit="1" customWidth="1"/>
    <col min="4" max="7" width="9.85546875" style="5" bestFit="1" customWidth="1"/>
    <col min="8" max="9" width="7.7109375" style="5" bestFit="1" customWidth="1"/>
    <col min="10" max="10" width="9.42578125" style="7" bestFit="1" customWidth="1"/>
    <col min="11" max="11" width="9.85546875" style="7" bestFit="1" customWidth="1"/>
    <col min="12" max="12" width="10.7109375" style="7" bestFit="1" customWidth="1"/>
    <col min="13" max="13" width="13.42578125" style="7" bestFit="1" customWidth="1"/>
    <col min="14" max="14" width="9.42578125" style="5" bestFit="1" customWidth="1"/>
    <col min="15" max="15" width="31.7109375" style="5" bestFit="1" customWidth="1"/>
    <col min="16" max="16384" width="10.85546875" style="5"/>
  </cols>
  <sheetData>
    <row r="1" spans="1:15">
      <c r="A1" s="27" t="s">
        <v>17</v>
      </c>
      <c r="B1" s="24" t="s">
        <v>0</v>
      </c>
      <c r="C1" s="24" t="s">
        <v>18</v>
      </c>
      <c r="D1" s="24" t="s">
        <v>19</v>
      </c>
      <c r="E1" s="24"/>
      <c r="F1" s="24" t="s">
        <v>20</v>
      </c>
      <c r="G1" s="24"/>
      <c r="H1" s="24" t="s">
        <v>21</v>
      </c>
      <c r="I1" s="24"/>
      <c r="J1" s="25" t="s">
        <v>22</v>
      </c>
      <c r="K1" s="25" t="s">
        <v>23</v>
      </c>
      <c r="L1" s="25" t="s">
        <v>24</v>
      </c>
      <c r="M1" s="25" t="s">
        <v>25</v>
      </c>
      <c r="N1" s="4" t="s">
        <v>26</v>
      </c>
      <c r="O1" s="4"/>
    </row>
    <row r="2" spans="1:15">
      <c r="A2" s="27"/>
      <c r="B2" s="24"/>
      <c r="C2" s="24"/>
      <c r="D2" s="5" t="s">
        <v>109</v>
      </c>
      <c r="E2" s="5" t="s">
        <v>110</v>
      </c>
      <c r="F2" s="5" t="s">
        <v>109</v>
      </c>
      <c r="G2" s="5" t="s">
        <v>110</v>
      </c>
      <c r="H2" s="5" t="s">
        <v>112</v>
      </c>
      <c r="I2" s="5" t="s">
        <v>113</v>
      </c>
      <c r="J2" s="25"/>
      <c r="K2" s="25"/>
      <c r="L2" s="25"/>
      <c r="M2" s="25"/>
      <c r="N2" s="4">
        <v>200</v>
      </c>
    </row>
    <row r="3" spans="1:15">
      <c r="A3" s="6">
        <v>44608</v>
      </c>
      <c r="B3" s="5" t="s">
        <v>16</v>
      </c>
      <c r="C3" s="5" t="s">
        <v>141</v>
      </c>
      <c r="D3" s="5">
        <v>352</v>
      </c>
      <c r="E3" s="5">
        <v>352</v>
      </c>
      <c r="F3" s="5">
        <v>1824</v>
      </c>
      <c r="G3" s="5">
        <v>1824</v>
      </c>
      <c r="H3" s="5">
        <f t="shared" ref="H3:H21" si="0">D3-E3</f>
        <v>0</v>
      </c>
      <c r="I3" s="5">
        <f t="shared" ref="I3:I21" si="1">F3-G3</f>
        <v>0</v>
      </c>
      <c r="J3" s="7">
        <f t="shared" ref="J3:J21" si="2">H3*3.5</f>
        <v>0</v>
      </c>
      <c r="K3" s="7">
        <f>I3*0.9</f>
        <v>0</v>
      </c>
      <c r="L3" s="7">
        <v>230</v>
      </c>
      <c r="M3" s="7">
        <f t="shared" ref="M3:M37" si="3">J3+K3+L3</f>
        <v>230</v>
      </c>
    </row>
    <row r="4" spans="1:15">
      <c r="A4" s="6">
        <v>44636</v>
      </c>
      <c r="B4" s="5" t="s">
        <v>16</v>
      </c>
      <c r="C4" s="5" t="s">
        <v>141</v>
      </c>
      <c r="D4" s="5">
        <v>354</v>
      </c>
      <c r="E4" s="5">
        <v>352</v>
      </c>
      <c r="F4" s="5">
        <v>1834</v>
      </c>
      <c r="G4" s="5">
        <v>1824</v>
      </c>
      <c r="H4" s="5">
        <f t="shared" si="0"/>
        <v>2</v>
      </c>
      <c r="I4" s="5">
        <f t="shared" si="1"/>
        <v>10</v>
      </c>
      <c r="J4" s="7">
        <f t="shared" si="2"/>
        <v>7</v>
      </c>
      <c r="K4" s="7">
        <f t="shared" ref="K4:K21" si="4">I4*0.9</f>
        <v>9</v>
      </c>
      <c r="L4" s="7">
        <v>230</v>
      </c>
      <c r="M4" s="7">
        <f t="shared" si="3"/>
        <v>246</v>
      </c>
    </row>
    <row r="5" spans="1:15">
      <c r="A5" s="6">
        <v>44667</v>
      </c>
      <c r="B5" s="5" t="s">
        <v>16</v>
      </c>
      <c r="C5" s="5" t="s">
        <v>141</v>
      </c>
      <c r="D5" s="5">
        <v>356</v>
      </c>
      <c r="E5" s="5">
        <v>354</v>
      </c>
      <c r="F5" s="5">
        <v>1853</v>
      </c>
      <c r="G5" s="5">
        <v>1834</v>
      </c>
      <c r="H5" s="5">
        <f t="shared" si="0"/>
        <v>2</v>
      </c>
      <c r="I5" s="5">
        <f t="shared" si="1"/>
        <v>19</v>
      </c>
      <c r="J5" s="7">
        <f t="shared" si="2"/>
        <v>7</v>
      </c>
      <c r="K5" s="7">
        <f t="shared" si="4"/>
        <v>17.100000000000001</v>
      </c>
      <c r="L5" s="7">
        <v>230</v>
      </c>
      <c r="M5" s="7">
        <f t="shared" si="3"/>
        <v>254.1</v>
      </c>
    </row>
    <row r="6" spans="1:15">
      <c r="A6" s="6">
        <v>44697</v>
      </c>
      <c r="B6" s="5" t="s">
        <v>16</v>
      </c>
      <c r="C6" s="5" t="s">
        <v>141</v>
      </c>
      <c r="D6" s="5">
        <v>358</v>
      </c>
      <c r="E6" s="5">
        <v>356</v>
      </c>
      <c r="F6" s="5">
        <v>1871</v>
      </c>
      <c r="G6" s="5">
        <v>1853</v>
      </c>
      <c r="H6" s="5">
        <f t="shared" si="0"/>
        <v>2</v>
      </c>
      <c r="I6" s="5">
        <f t="shared" si="1"/>
        <v>18</v>
      </c>
      <c r="J6" s="7">
        <f t="shared" si="2"/>
        <v>7</v>
      </c>
      <c r="K6" s="7">
        <f t="shared" si="4"/>
        <v>16.2</v>
      </c>
      <c r="L6" s="7">
        <v>230</v>
      </c>
      <c r="M6" s="7">
        <f t="shared" si="3"/>
        <v>253.2</v>
      </c>
    </row>
    <row r="7" spans="1:15">
      <c r="A7" s="6">
        <v>44728</v>
      </c>
      <c r="B7" s="5" t="s">
        <v>16</v>
      </c>
      <c r="C7" s="5" t="s">
        <v>141</v>
      </c>
      <c r="D7" s="5">
        <v>0</v>
      </c>
      <c r="E7" s="5">
        <v>0</v>
      </c>
      <c r="F7" s="5">
        <v>0</v>
      </c>
      <c r="G7" s="5">
        <v>0</v>
      </c>
      <c r="H7" s="5">
        <f t="shared" si="0"/>
        <v>0</v>
      </c>
      <c r="I7" s="5">
        <f t="shared" si="1"/>
        <v>0</v>
      </c>
      <c r="J7" s="7">
        <f t="shared" si="2"/>
        <v>0</v>
      </c>
      <c r="K7" s="7">
        <f t="shared" si="4"/>
        <v>0</v>
      </c>
      <c r="L7" s="7">
        <v>230</v>
      </c>
      <c r="M7" s="7">
        <f t="shared" si="3"/>
        <v>230</v>
      </c>
    </row>
    <row r="8" spans="1:15">
      <c r="A8" s="6">
        <v>44758</v>
      </c>
      <c r="B8" s="5" t="s">
        <v>16</v>
      </c>
      <c r="C8" s="5" t="s">
        <v>141</v>
      </c>
      <c r="D8" s="5">
        <v>0</v>
      </c>
      <c r="E8" s="5">
        <v>0</v>
      </c>
      <c r="F8" s="5">
        <v>0</v>
      </c>
      <c r="G8" s="5">
        <v>0</v>
      </c>
      <c r="H8" s="5">
        <f t="shared" si="0"/>
        <v>0</v>
      </c>
      <c r="I8" s="5">
        <f t="shared" si="1"/>
        <v>0</v>
      </c>
      <c r="J8" s="7">
        <f t="shared" si="2"/>
        <v>0</v>
      </c>
      <c r="K8" s="7">
        <f t="shared" si="4"/>
        <v>0</v>
      </c>
      <c r="L8" s="7">
        <v>230</v>
      </c>
      <c r="M8" s="7">
        <f t="shared" si="3"/>
        <v>230</v>
      </c>
    </row>
    <row r="9" spans="1:15">
      <c r="A9" s="6">
        <v>44789</v>
      </c>
      <c r="B9" s="5" t="s">
        <v>16</v>
      </c>
      <c r="C9" s="5" t="s">
        <v>141</v>
      </c>
      <c r="D9" s="5">
        <v>0</v>
      </c>
      <c r="E9" s="5">
        <v>0</v>
      </c>
      <c r="F9" s="5">
        <v>0</v>
      </c>
      <c r="G9" s="5">
        <v>0</v>
      </c>
      <c r="H9" s="5">
        <f t="shared" si="0"/>
        <v>0</v>
      </c>
      <c r="I9" s="5">
        <f t="shared" si="1"/>
        <v>0</v>
      </c>
      <c r="J9" s="7">
        <f t="shared" si="2"/>
        <v>0</v>
      </c>
      <c r="K9" s="7">
        <f t="shared" si="4"/>
        <v>0</v>
      </c>
      <c r="L9" s="7">
        <v>230</v>
      </c>
      <c r="M9" s="7">
        <f t="shared" si="3"/>
        <v>230</v>
      </c>
    </row>
    <row r="10" spans="1:15">
      <c r="A10" s="6">
        <v>44820</v>
      </c>
      <c r="B10" s="5" t="s">
        <v>16</v>
      </c>
      <c r="C10" s="5" t="s">
        <v>141</v>
      </c>
      <c r="D10" s="5">
        <v>0</v>
      </c>
      <c r="E10" s="5">
        <v>0</v>
      </c>
      <c r="F10" s="5">
        <v>0</v>
      </c>
      <c r="G10" s="5">
        <v>0</v>
      </c>
      <c r="H10" s="5">
        <f t="shared" si="0"/>
        <v>0</v>
      </c>
      <c r="I10" s="5">
        <f t="shared" si="1"/>
        <v>0</v>
      </c>
      <c r="J10" s="7">
        <f t="shared" si="2"/>
        <v>0</v>
      </c>
      <c r="K10" s="7">
        <f t="shared" si="4"/>
        <v>0</v>
      </c>
      <c r="L10" s="7">
        <v>230</v>
      </c>
      <c r="M10" s="7">
        <f t="shared" si="3"/>
        <v>230</v>
      </c>
    </row>
    <row r="11" spans="1:15">
      <c r="A11" s="6">
        <v>44850</v>
      </c>
      <c r="B11" s="5" t="s">
        <v>16</v>
      </c>
      <c r="C11" s="5" t="s">
        <v>141</v>
      </c>
      <c r="D11" s="5">
        <v>362</v>
      </c>
      <c r="E11" s="5">
        <v>358</v>
      </c>
      <c r="F11" s="5">
        <v>1890</v>
      </c>
      <c r="G11" s="5">
        <v>1871</v>
      </c>
      <c r="H11" s="5">
        <f t="shared" si="0"/>
        <v>4</v>
      </c>
      <c r="I11" s="5">
        <f t="shared" si="1"/>
        <v>19</v>
      </c>
      <c r="J11" s="7">
        <f t="shared" si="2"/>
        <v>14</v>
      </c>
      <c r="K11" s="7">
        <f t="shared" si="4"/>
        <v>17.100000000000001</v>
      </c>
      <c r="L11" s="7">
        <v>230</v>
      </c>
      <c r="M11" s="7">
        <f t="shared" si="3"/>
        <v>261.10000000000002</v>
      </c>
    </row>
    <row r="12" spans="1:15">
      <c r="A12" s="6">
        <v>44881</v>
      </c>
      <c r="B12" s="5" t="s">
        <v>16</v>
      </c>
      <c r="C12" s="5" t="s">
        <v>141</v>
      </c>
      <c r="D12" s="5">
        <v>365</v>
      </c>
      <c r="E12" s="5">
        <v>362</v>
      </c>
      <c r="F12" s="5">
        <v>1905</v>
      </c>
      <c r="G12" s="5">
        <v>1890</v>
      </c>
      <c r="H12" s="5">
        <f t="shared" si="0"/>
        <v>3</v>
      </c>
      <c r="I12" s="5">
        <f t="shared" si="1"/>
        <v>15</v>
      </c>
      <c r="J12" s="7">
        <f t="shared" si="2"/>
        <v>10.5</v>
      </c>
      <c r="K12" s="7">
        <f t="shared" si="4"/>
        <v>13.5</v>
      </c>
      <c r="L12" s="7">
        <v>230</v>
      </c>
      <c r="M12" s="7">
        <f t="shared" si="3"/>
        <v>254</v>
      </c>
    </row>
    <row r="13" spans="1:15">
      <c r="A13" s="6">
        <v>44911</v>
      </c>
      <c r="B13" s="5" t="s">
        <v>16</v>
      </c>
      <c r="C13" s="5" t="s">
        <v>141</v>
      </c>
      <c r="D13" s="5">
        <v>367</v>
      </c>
      <c r="E13" s="5">
        <v>365</v>
      </c>
      <c r="F13" s="5">
        <v>1913</v>
      </c>
      <c r="G13" s="5">
        <v>1905</v>
      </c>
      <c r="H13" s="5">
        <f t="shared" si="0"/>
        <v>2</v>
      </c>
      <c r="I13" s="5">
        <f t="shared" si="1"/>
        <v>8</v>
      </c>
      <c r="J13" s="7">
        <f t="shared" si="2"/>
        <v>7</v>
      </c>
      <c r="K13" s="7">
        <f t="shared" si="4"/>
        <v>7.2</v>
      </c>
      <c r="L13" s="7">
        <v>230</v>
      </c>
      <c r="M13" s="7">
        <f t="shared" si="3"/>
        <v>244.2</v>
      </c>
    </row>
    <row r="14" spans="1:15">
      <c r="A14" s="6">
        <v>44968</v>
      </c>
      <c r="B14" s="5" t="s">
        <v>16</v>
      </c>
      <c r="C14" s="5" t="s">
        <v>142</v>
      </c>
      <c r="D14" s="5">
        <v>367</v>
      </c>
      <c r="E14" s="5">
        <v>367</v>
      </c>
      <c r="F14" s="5">
        <v>1913</v>
      </c>
      <c r="G14" s="5">
        <v>1913</v>
      </c>
      <c r="H14" s="5">
        <f t="shared" si="0"/>
        <v>0</v>
      </c>
      <c r="I14" s="5">
        <f t="shared" si="1"/>
        <v>0</v>
      </c>
      <c r="J14" s="7">
        <f t="shared" si="2"/>
        <v>0</v>
      </c>
      <c r="K14" s="7">
        <f t="shared" si="4"/>
        <v>0</v>
      </c>
      <c r="L14" s="7">
        <v>230</v>
      </c>
      <c r="M14" s="7">
        <f t="shared" si="3"/>
        <v>230</v>
      </c>
    </row>
    <row r="15" spans="1:15">
      <c r="A15" s="6">
        <v>44996</v>
      </c>
      <c r="B15" s="5" t="s">
        <v>16</v>
      </c>
      <c r="C15" s="5" t="s">
        <v>142</v>
      </c>
      <c r="D15" s="5">
        <v>389</v>
      </c>
      <c r="E15" s="5">
        <v>367</v>
      </c>
      <c r="F15" s="5">
        <v>2032</v>
      </c>
      <c r="G15" s="5">
        <v>1913</v>
      </c>
      <c r="H15" s="5">
        <f t="shared" si="0"/>
        <v>22</v>
      </c>
      <c r="I15" s="5">
        <f t="shared" si="1"/>
        <v>119</v>
      </c>
      <c r="J15" s="7">
        <f t="shared" si="2"/>
        <v>77</v>
      </c>
      <c r="K15" s="7">
        <f t="shared" si="4"/>
        <v>107.10000000000001</v>
      </c>
      <c r="L15" s="7">
        <v>230</v>
      </c>
      <c r="M15" s="7">
        <f t="shared" si="3"/>
        <v>414.1</v>
      </c>
    </row>
    <row r="16" spans="1:15">
      <c r="A16" s="6">
        <v>45027</v>
      </c>
      <c r="B16" s="5" t="s">
        <v>16</v>
      </c>
      <c r="C16" s="5" t="s">
        <v>142</v>
      </c>
      <c r="D16" s="5">
        <v>0</v>
      </c>
      <c r="E16" s="5">
        <v>0</v>
      </c>
      <c r="F16" s="5">
        <v>0</v>
      </c>
      <c r="G16" s="5">
        <v>0</v>
      </c>
      <c r="H16" s="5">
        <f t="shared" si="0"/>
        <v>0</v>
      </c>
      <c r="I16" s="5">
        <f t="shared" si="1"/>
        <v>0</v>
      </c>
      <c r="J16" s="7">
        <f t="shared" si="2"/>
        <v>0</v>
      </c>
      <c r="K16" s="7">
        <f t="shared" si="4"/>
        <v>0</v>
      </c>
      <c r="L16" s="7">
        <v>230</v>
      </c>
      <c r="M16" s="7">
        <f t="shared" si="3"/>
        <v>230</v>
      </c>
    </row>
    <row r="17" spans="1:13">
      <c r="A17" s="6">
        <v>45057</v>
      </c>
      <c r="B17" s="5" t="s">
        <v>16</v>
      </c>
      <c r="C17" s="5" t="s">
        <v>142</v>
      </c>
      <c r="D17" s="5">
        <v>0</v>
      </c>
      <c r="E17" s="5">
        <v>0</v>
      </c>
      <c r="F17" s="5">
        <v>0</v>
      </c>
      <c r="G17" s="5">
        <v>0</v>
      </c>
      <c r="H17" s="5">
        <f t="shared" si="0"/>
        <v>0</v>
      </c>
      <c r="I17" s="5">
        <f t="shared" si="1"/>
        <v>0</v>
      </c>
      <c r="J17" s="7">
        <f t="shared" si="2"/>
        <v>0</v>
      </c>
      <c r="K17" s="7">
        <f t="shared" si="4"/>
        <v>0</v>
      </c>
      <c r="L17" s="7">
        <v>230</v>
      </c>
      <c r="M17" s="7">
        <f t="shared" si="3"/>
        <v>230</v>
      </c>
    </row>
    <row r="18" spans="1:13">
      <c r="A18" s="6">
        <v>45088</v>
      </c>
      <c r="B18" s="5" t="s">
        <v>16</v>
      </c>
      <c r="C18" s="5" t="s">
        <v>142</v>
      </c>
      <c r="D18" s="5">
        <v>0</v>
      </c>
      <c r="E18" s="5">
        <v>0</v>
      </c>
      <c r="F18" s="5">
        <v>0</v>
      </c>
      <c r="G18" s="5">
        <v>0</v>
      </c>
      <c r="H18" s="5">
        <f t="shared" si="0"/>
        <v>0</v>
      </c>
      <c r="I18" s="5">
        <f t="shared" si="1"/>
        <v>0</v>
      </c>
      <c r="J18" s="7">
        <f t="shared" si="2"/>
        <v>0</v>
      </c>
      <c r="K18" s="7">
        <f t="shared" si="4"/>
        <v>0</v>
      </c>
      <c r="L18" s="7">
        <v>230</v>
      </c>
      <c r="M18" s="7">
        <f t="shared" si="3"/>
        <v>230</v>
      </c>
    </row>
    <row r="19" spans="1:13">
      <c r="A19" s="6">
        <v>45118</v>
      </c>
      <c r="B19" s="5" t="s">
        <v>16</v>
      </c>
      <c r="C19" s="5" t="s">
        <v>142</v>
      </c>
      <c r="D19" s="5">
        <v>395</v>
      </c>
      <c r="E19" s="5">
        <v>389</v>
      </c>
      <c r="F19" s="5">
        <v>2346</v>
      </c>
      <c r="G19" s="5">
        <v>2032</v>
      </c>
      <c r="H19" s="5">
        <f t="shared" si="0"/>
        <v>6</v>
      </c>
      <c r="I19" s="5">
        <f t="shared" si="1"/>
        <v>314</v>
      </c>
      <c r="J19" s="7">
        <f t="shared" si="2"/>
        <v>21</v>
      </c>
      <c r="K19" s="7">
        <f t="shared" si="4"/>
        <v>282.60000000000002</v>
      </c>
      <c r="L19" s="7">
        <v>230</v>
      </c>
      <c r="M19" s="7">
        <f t="shared" si="3"/>
        <v>533.6</v>
      </c>
    </row>
    <row r="20" spans="1:13">
      <c r="A20" s="6">
        <v>45149</v>
      </c>
      <c r="B20" s="5" t="s">
        <v>16</v>
      </c>
      <c r="C20" s="5" t="s">
        <v>142</v>
      </c>
      <c r="D20" s="5">
        <v>399</v>
      </c>
      <c r="E20" s="5">
        <v>395</v>
      </c>
      <c r="F20" s="5">
        <v>2604</v>
      </c>
      <c r="G20" s="5">
        <v>2346</v>
      </c>
      <c r="H20" s="5">
        <f t="shared" si="0"/>
        <v>4</v>
      </c>
      <c r="I20" s="5">
        <f t="shared" si="1"/>
        <v>258</v>
      </c>
      <c r="J20" s="7">
        <f t="shared" si="2"/>
        <v>14</v>
      </c>
      <c r="K20" s="7">
        <f t="shared" si="4"/>
        <v>232.20000000000002</v>
      </c>
      <c r="L20" s="7">
        <v>230</v>
      </c>
      <c r="M20" s="7">
        <f t="shared" si="3"/>
        <v>476.20000000000005</v>
      </c>
    </row>
    <row r="21" spans="1:13">
      <c r="A21" s="6">
        <v>45180</v>
      </c>
      <c r="B21" s="5" t="s">
        <v>16</v>
      </c>
      <c r="C21" s="5" t="s">
        <v>142</v>
      </c>
      <c r="D21" s="5">
        <v>401</v>
      </c>
      <c r="E21" s="5">
        <v>399</v>
      </c>
      <c r="F21" s="5">
        <v>2757</v>
      </c>
      <c r="G21" s="5">
        <v>2604</v>
      </c>
      <c r="H21" s="5">
        <f t="shared" si="0"/>
        <v>2</v>
      </c>
      <c r="I21" s="5">
        <f t="shared" si="1"/>
        <v>153</v>
      </c>
      <c r="J21" s="7">
        <f t="shared" si="2"/>
        <v>7</v>
      </c>
      <c r="K21" s="7">
        <f t="shared" si="4"/>
        <v>137.70000000000002</v>
      </c>
      <c r="L21" s="7">
        <v>230</v>
      </c>
      <c r="M21" s="7">
        <f t="shared" si="3"/>
        <v>374.70000000000005</v>
      </c>
    </row>
    <row r="22" spans="1:13">
      <c r="A22" s="6">
        <v>45210</v>
      </c>
      <c r="B22" s="5" t="s">
        <v>16</v>
      </c>
      <c r="C22" s="5" t="s">
        <v>142</v>
      </c>
      <c r="D22" s="5">
        <v>405</v>
      </c>
      <c r="E22" s="5">
        <v>401</v>
      </c>
      <c r="F22" s="5">
        <v>2952</v>
      </c>
      <c r="G22" s="5">
        <v>2757</v>
      </c>
      <c r="H22" s="5">
        <f t="shared" ref="H22" si="5">D22-E22</f>
        <v>4</v>
      </c>
      <c r="I22" s="5">
        <f t="shared" ref="I22" si="6">F22-G22</f>
        <v>195</v>
      </c>
      <c r="J22" s="7">
        <f t="shared" ref="J22" si="7">H22*3.5</f>
        <v>14</v>
      </c>
      <c r="K22" s="7">
        <f>I22*1</f>
        <v>195</v>
      </c>
      <c r="L22" s="7">
        <v>230</v>
      </c>
      <c r="M22" s="7">
        <f t="shared" si="3"/>
        <v>439</v>
      </c>
    </row>
    <row r="23" spans="1:13">
      <c r="A23" s="6">
        <v>45241</v>
      </c>
      <c r="B23" s="5" t="s">
        <v>16</v>
      </c>
      <c r="C23" s="5" t="s">
        <v>142</v>
      </c>
      <c r="D23" s="5">
        <v>409</v>
      </c>
      <c r="E23" s="5">
        <v>405</v>
      </c>
      <c r="F23" s="5">
        <v>3058</v>
      </c>
      <c r="G23" s="5">
        <v>2952</v>
      </c>
      <c r="H23" s="5">
        <f t="shared" ref="H23:H34" si="8">D23-E23</f>
        <v>4</v>
      </c>
      <c r="I23" s="5">
        <f t="shared" ref="I23:I34" si="9">F23-G23</f>
        <v>106</v>
      </c>
      <c r="J23" s="7">
        <f t="shared" ref="J23:J34" si="10">H23*3.5</f>
        <v>14</v>
      </c>
      <c r="K23" s="7">
        <f t="shared" ref="K23:K34" si="11">I23*1</f>
        <v>106</v>
      </c>
      <c r="L23" s="7">
        <v>230</v>
      </c>
      <c r="M23" s="7">
        <f t="shared" si="3"/>
        <v>350</v>
      </c>
    </row>
    <row r="24" spans="1:13">
      <c r="A24" s="6">
        <v>45271</v>
      </c>
      <c r="B24" s="5" t="s">
        <v>16</v>
      </c>
      <c r="C24" s="5" t="s">
        <v>142</v>
      </c>
      <c r="D24" s="5">
        <v>411</v>
      </c>
      <c r="E24" s="5">
        <v>409</v>
      </c>
      <c r="F24" s="5">
        <v>3176</v>
      </c>
      <c r="G24" s="5">
        <v>3058</v>
      </c>
      <c r="H24" s="5">
        <f t="shared" si="8"/>
        <v>2</v>
      </c>
      <c r="I24" s="5">
        <f t="shared" si="9"/>
        <v>118</v>
      </c>
      <c r="J24" s="7">
        <f t="shared" si="10"/>
        <v>7</v>
      </c>
      <c r="K24" s="7">
        <f t="shared" si="11"/>
        <v>118</v>
      </c>
      <c r="L24" s="7">
        <v>230</v>
      </c>
      <c r="M24" s="7">
        <f t="shared" si="3"/>
        <v>355</v>
      </c>
    </row>
    <row r="25" spans="1:13">
      <c r="A25" s="6">
        <v>45302</v>
      </c>
      <c r="B25" s="5" t="s">
        <v>16</v>
      </c>
      <c r="C25" s="5" t="s">
        <v>142</v>
      </c>
      <c r="D25" s="5">
        <v>414</v>
      </c>
      <c r="E25" s="5">
        <v>411</v>
      </c>
      <c r="F25" s="5">
        <v>3287</v>
      </c>
      <c r="G25" s="5">
        <v>3176</v>
      </c>
      <c r="H25" s="5">
        <f t="shared" si="8"/>
        <v>3</v>
      </c>
      <c r="I25" s="5">
        <f t="shared" si="9"/>
        <v>111</v>
      </c>
      <c r="J25" s="7">
        <f t="shared" si="10"/>
        <v>10.5</v>
      </c>
      <c r="K25" s="7">
        <f t="shared" si="11"/>
        <v>111</v>
      </c>
      <c r="L25" s="7">
        <v>230</v>
      </c>
      <c r="M25" s="7">
        <f t="shared" si="3"/>
        <v>351.5</v>
      </c>
    </row>
    <row r="26" spans="1:13">
      <c r="A26" s="6">
        <v>45333</v>
      </c>
      <c r="B26" s="5" t="s">
        <v>16</v>
      </c>
      <c r="C26" s="5" t="s">
        <v>142</v>
      </c>
      <c r="D26" s="5">
        <v>418</v>
      </c>
      <c r="E26" s="5">
        <v>414</v>
      </c>
      <c r="F26" s="5">
        <v>3379</v>
      </c>
      <c r="G26" s="5">
        <v>3287</v>
      </c>
      <c r="H26" s="5">
        <f t="shared" si="8"/>
        <v>4</v>
      </c>
      <c r="I26" s="5">
        <f t="shared" si="9"/>
        <v>92</v>
      </c>
      <c r="J26" s="7">
        <f t="shared" si="10"/>
        <v>14</v>
      </c>
      <c r="K26" s="7">
        <f t="shared" si="11"/>
        <v>92</v>
      </c>
      <c r="L26" s="7">
        <v>230</v>
      </c>
      <c r="M26" s="7">
        <f t="shared" si="3"/>
        <v>336</v>
      </c>
    </row>
    <row r="27" spans="1:13">
      <c r="A27" s="6">
        <v>45362</v>
      </c>
      <c r="B27" s="5" t="s">
        <v>16</v>
      </c>
      <c r="C27" s="5" t="s">
        <v>142</v>
      </c>
      <c r="D27" s="5">
        <v>420</v>
      </c>
      <c r="E27" s="5">
        <v>418</v>
      </c>
      <c r="F27" s="5">
        <v>3453</v>
      </c>
      <c r="G27" s="5">
        <v>3379</v>
      </c>
      <c r="H27" s="5">
        <f t="shared" si="8"/>
        <v>2</v>
      </c>
      <c r="I27" s="5">
        <f t="shared" si="9"/>
        <v>74</v>
      </c>
      <c r="J27" s="7">
        <f t="shared" si="10"/>
        <v>7</v>
      </c>
      <c r="K27" s="7">
        <f t="shared" si="11"/>
        <v>74</v>
      </c>
      <c r="L27" s="7">
        <v>230</v>
      </c>
      <c r="M27" s="7">
        <f t="shared" si="3"/>
        <v>311</v>
      </c>
    </row>
    <row r="28" spans="1:13">
      <c r="A28" s="6">
        <v>45393</v>
      </c>
      <c r="B28" s="5" t="s">
        <v>16</v>
      </c>
      <c r="C28" s="5" t="s">
        <v>142</v>
      </c>
      <c r="D28" s="5">
        <v>0</v>
      </c>
      <c r="E28" s="5">
        <v>0</v>
      </c>
      <c r="F28" s="5">
        <v>3552</v>
      </c>
      <c r="G28" s="5">
        <v>3453</v>
      </c>
      <c r="H28" s="5">
        <f t="shared" si="8"/>
        <v>0</v>
      </c>
      <c r="I28" s="5">
        <f t="shared" si="9"/>
        <v>99</v>
      </c>
      <c r="J28" s="7">
        <f t="shared" si="10"/>
        <v>0</v>
      </c>
      <c r="K28" s="7">
        <f t="shared" si="11"/>
        <v>99</v>
      </c>
      <c r="L28" s="7">
        <v>230</v>
      </c>
      <c r="M28" s="7">
        <f t="shared" si="3"/>
        <v>329</v>
      </c>
    </row>
    <row r="29" spans="1:13">
      <c r="A29" s="6">
        <v>45423</v>
      </c>
      <c r="B29" s="5" t="s">
        <v>16</v>
      </c>
      <c r="C29" s="5" t="s">
        <v>142</v>
      </c>
      <c r="D29" s="5">
        <v>428</v>
      </c>
      <c r="E29" s="5">
        <v>420</v>
      </c>
      <c r="F29" s="5">
        <v>3653</v>
      </c>
      <c r="G29" s="5">
        <v>3552</v>
      </c>
      <c r="H29" s="5">
        <f t="shared" si="8"/>
        <v>8</v>
      </c>
      <c r="I29" s="5">
        <f t="shared" si="9"/>
        <v>101</v>
      </c>
      <c r="J29" s="7">
        <f t="shared" si="10"/>
        <v>28</v>
      </c>
      <c r="K29" s="7">
        <f t="shared" si="11"/>
        <v>101</v>
      </c>
      <c r="L29" s="7">
        <v>230</v>
      </c>
      <c r="M29" s="7">
        <f t="shared" si="3"/>
        <v>359</v>
      </c>
    </row>
    <row r="30" spans="1:13">
      <c r="A30" s="6">
        <v>45454</v>
      </c>
      <c r="B30" s="5" t="s">
        <v>16</v>
      </c>
      <c r="C30" s="5" t="s">
        <v>142</v>
      </c>
      <c r="D30" s="5">
        <v>431</v>
      </c>
      <c r="E30" s="5">
        <v>428</v>
      </c>
      <c r="F30" s="5">
        <v>3750</v>
      </c>
      <c r="G30" s="5">
        <v>3653</v>
      </c>
      <c r="H30" s="5">
        <f t="shared" si="8"/>
        <v>3</v>
      </c>
      <c r="I30" s="5">
        <f t="shared" si="9"/>
        <v>97</v>
      </c>
      <c r="J30" s="7">
        <f t="shared" si="10"/>
        <v>10.5</v>
      </c>
      <c r="K30" s="7">
        <f t="shared" si="11"/>
        <v>97</v>
      </c>
      <c r="L30" s="7">
        <v>230</v>
      </c>
      <c r="M30" s="7">
        <f t="shared" si="3"/>
        <v>337.5</v>
      </c>
    </row>
    <row r="31" spans="1:13">
      <c r="A31" s="6">
        <v>45484</v>
      </c>
      <c r="B31" s="5" t="s">
        <v>16</v>
      </c>
      <c r="C31" s="5" t="s">
        <v>142</v>
      </c>
      <c r="D31" s="5">
        <v>435</v>
      </c>
      <c r="E31" s="5">
        <v>431</v>
      </c>
      <c r="F31" s="5">
        <v>3982</v>
      </c>
      <c r="G31" s="5">
        <v>3750</v>
      </c>
      <c r="H31" s="5">
        <f t="shared" si="8"/>
        <v>4</v>
      </c>
      <c r="I31" s="5">
        <f t="shared" si="9"/>
        <v>232</v>
      </c>
      <c r="J31" s="7">
        <f t="shared" si="10"/>
        <v>14</v>
      </c>
      <c r="K31" s="7">
        <f t="shared" si="11"/>
        <v>232</v>
      </c>
      <c r="L31" s="7">
        <v>230</v>
      </c>
      <c r="M31" s="7">
        <f t="shared" si="3"/>
        <v>476</v>
      </c>
    </row>
    <row r="32" spans="1:13">
      <c r="A32" s="6">
        <v>45515</v>
      </c>
      <c r="B32" s="5" t="s">
        <v>16</v>
      </c>
      <c r="C32" s="5" t="s">
        <v>142</v>
      </c>
      <c r="D32" s="5">
        <v>439</v>
      </c>
      <c r="E32" s="5">
        <v>435</v>
      </c>
      <c r="F32" s="5">
        <v>4310</v>
      </c>
      <c r="G32" s="5">
        <v>3982</v>
      </c>
      <c r="H32" s="5">
        <f t="shared" si="8"/>
        <v>4</v>
      </c>
      <c r="I32" s="5">
        <f t="shared" si="9"/>
        <v>328</v>
      </c>
      <c r="J32" s="7">
        <f t="shared" si="10"/>
        <v>14</v>
      </c>
      <c r="K32" s="7">
        <f t="shared" si="11"/>
        <v>328</v>
      </c>
      <c r="L32" s="7">
        <v>230</v>
      </c>
      <c r="M32" s="7">
        <f t="shared" si="3"/>
        <v>572</v>
      </c>
    </row>
    <row r="33" spans="1:15">
      <c r="A33" s="6">
        <v>45546</v>
      </c>
      <c r="B33" s="5" t="s">
        <v>16</v>
      </c>
      <c r="C33" s="5" t="s">
        <v>142</v>
      </c>
      <c r="D33" s="5">
        <v>443</v>
      </c>
      <c r="E33" s="5">
        <v>439</v>
      </c>
      <c r="F33" s="5">
        <v>4594</v>
      </c>
      <c r="G33" s="5">
        <v>4310</v>
      </c>
      <c r="H33" s="5">
        <f t="shared" si="8"/>
        <v>4</v>
      </c>
      <c r="I33" s="5">
        <f t="shared" si="9"/>
        <v>284</v>
      </c>
      <c r="J33" s="7">
        <f t="shared" si="10"/>
        <v>14</v>
      </c>
      <c r="K33" s="7">
        <f t="shared" si="11"/>
        <v>284</v>
      </c>
      <c r="L33" s="7">
        <v>230</v>
      </c>
      <c r="M33" s="7">
        <f t="shared" si="3"/>
        <v>528</v>
      </c>
    </row>
    <row r="34" spans="1:15">
      <c r="A34" s="6">
        <v>45576</v>
      </c>
      <c r="B34" s="5" t="s">
        <v>16</v>
      </c>
      <c r="C34" s="5" t="s">
        <v>142</v>
      </c>
      <c r="D34" s="5">
        <v>0</v>
      </c>
      <c r="E34" s="5">
        <v>0</v>
      </c>
      <c r="F34" s="5">
        <v>0</v>
      </c>
      <c r="G34" s="5">
        <v>0</v>
      </c>
      <c r="H34" s="5">
        <f t="shared" si="8"/>
        <v>0</v>
      </c>
      <c r="I34" s="5">
        <f t="shared" si="9"/>
        <v>0</v>
      </c>
      <c r="J34" s="7">
        <f t="shared" si="10"/>
        <v>0</v>
      </c>
      <c r="K34" s="7">
        <f t="shared" si="11"/>
        <v>0</v>
      </c>
      <c r="L34" s="7">
        <v>230</v>
      </c>
      <c r="M34" s="7">
        <f t="shared" si="3"/>
        <v>230</v>
      </c>
    </row>
    <row r="35" spans="1:15">
      <c r="A35" s="6">
        <v>45607</v>
      </c>
      <c r="B35" s="5" t="s">
        <v>16</v>
      </c>
      <c r="C35" s="5" t="s">
        <v>142</v>
      </c>
      <c r="D35" s="5">
        <v>451</v>
      </c>
      <c r="E35" s="5">
        <v>443</v>
      </c>
      <c r="F35" s="5">
        <v>4914</v>
      </c>
      <c r="G35" s="5">
        <v>4594</v>
      </c>
      <c r="H35" s="5">
        <f t="shared" ref="H35:H37" si="12">D35-E35</f>
        <v>8</v>
      </c>
      <c r="I35" s="5">
        <f t="shared" ref="I35:I37" si="13">F35-G35</f>
        <v>320</v>
      </c>
      <c r="J35" s="7">
        <f t="shared" ref="J35:J37" si="14">H35*3.5</f>
        <v>28</v>
      </c>
      <c r="K35" s="7">
        <f t="shared" ref="K35:K37" si="15">I35*1</f>
        <v>320</v>
      </c>
      <c r="L35" s="7">
        <v>230</v>
      </c>
      <c r="M35" s="7">
        <f t="shared" si="3"/>
        <v>578</v>
      </c>
    </row>
    <row r="36" spans="1:15">
      <c r="A36" s="6">
        <v>45637</v>
      </c>
      <c r="B36" s="5" t="s">
        <v>16</v>
      </c>
      <c r="C36" s="5" t="s">
        <v>142</v>
      </c>
      <c r="D36" s="5">
        <v>455</v>
      </c>
      <c r="E36" s="5">
        <v>451</v>
      </c>
      <c r="F36" s="5">
        <v>5012</v>
      </c>
      <c r="G36" s="5">
        <v>4914</v>
      </c>
      <c r="H36" s="5">
        <f t="shared" si="12"/>
        <v>4</v>
      </c>
      <c r="I36" s="5">
        <f t="shared" si="13"/>
        <v>98</v>
      </c>
      <c r="J36" s="7">
        <f t="shared" si="14"/>
        <v>14</v>
      </c>
      <c r="K36" s="7">
        <f t="shared" si="15"/>
        <v>98</v>
      </c>
      <c r="L36" s="7">
        <v>230</v>
      </c>
      <c r="M36" s="7">
        <f t="shared" si="3"/>
        <v>342</v>
      </c>
    </row>
    <row r="37" spans="1:15">
      <c r="A37" s="6">
        <v>45662</v>
      </c>
      <c r="B37" s="5" t="s">
        <v>16</v>
      </c>
      <c r="C37" s="5" t="s">
        <v>142</v>
      </c>
      <c r="D37" s="5">
        <v>0</v>
      </c>
      <c r="E37" s="5">
        <v>0</v>
      </c>
      <c r="F37" s="5">
        <v>0</v>
      </c>
      <c r="G37" s="5">
        <v>0</v>
      </c>
      <c r="H37" s="5">
        <f t="shared" si="12"/>
        <v>0</v>
      </c>
      <c r="I37" s="5">
        <f t="shared" si="13"/>
        <v>0</v>
      </c>
      <c r="J37" s="7">
        <f t="shared" si="14"/>
        <v>0</v>
      </c>
      <c r="K37" s="7">
        <f t="shared" si="15"/>
        <v>0</v>
      </c>
      <c r="L37" s="7">
        <v>25</v>
      </c>
      <c r="M37" s="7">
        <f t="shared" si="3"/>
        <v>25</v>
      </c>
      <c r="O37" s="5" t="s">
        <v>239</v>
      </c>
    </row>
    <row r="38" spans="1:15" ht="20">
      <c r="A38" s="6">
        <v>45698</v>
      </c>
      <c r="B38" s="5" t="s">
        <v>16</v>
      </c>
      <c r="C38" s="5" t="s">
        <v>65</v>
      </c>
      <c r="D38" s="5">
        <v>458</v>
      </c>
      <c r="E38" s="5">
        <v>458</v>
      </c>
      <c r="F38" s="1">
        <v>5102</v>
      </c>
      <c r="G38" s="5">
        <v>5102</v>
      </c>
      <c r="H38" s="5">
        <f>D38-E38</f>
        <v>0</v>
      </c>
      <c r="I38" s="5">
        <f>F38-G38</f>
        <v>0</v>
      </c>
      <c r="J38" s="7">
        <f>H38*3.5</f>
        <v>0</v>
      </c>
      <c r="K38" s="7">
        <f>I38*1</f>
        <v>0</v>
      </c>
      <c r="L38" s="7">
        <v>170</v>
      </c>
      <c r="M38" s="7">
        <f>J38+K38+L38</f>
        <v>170</v>
      </c>
      <c r="O38" s="5" t="s">
        <v>68</v>
      </c>
    </row>
    <row r="39" spans="1:15">
      <c r="A39" s="6">
        <v>45717</v>
      </c>
      <c r="B39" s="5" t="s">
        <v>16</v>
      </c>
      <c r="C39" s="5" t="s">
        <v>65</v>
      </c>
      <c r="D39" s="5">
        <v>0</v>
      </c>
      <c r="E39" s="5">
        <v>0</v>
      </c>
      <c r="F39" s="5">
        <v>0</v>
      </c>
      <c r="G39" s="5">
        <v>0</v>
      </c>
      <c r="H39" s="5">
        <f t="shared" ref="H39:H55" si="16">D39-E39</f>
        <v>0</v>
      </c>
      <c r="I39" s="5">
        <f t="shared" ref="I39:I55" si="17">F39-G39</f>
        <v>0</v>
      </c>
      <c r="J39" s="7">
        <f t="shared" ref="J39:J55" si="18">H39*3.5</f>
        <v>0</v>
      </c>
      <c r="K39" s="7">
        <f t="shared" ref="K39:K55" si="19">I39*1</f>
        <v>0</v>
      </c>
      <c r="L39" s="7">
        <v>260</v>
      </c>
      <c r="M39" s="7">
        <f t="shared" ref="M39:M55" si="20">J39+K39+L39</f>
        <v>260</v>
      </c>
    </row>
    <row r="40" spans="1:15">
      <c r="A40" s="6">
        <v>45748</v>
      </c>
      <c r="B40" s="5" t="s">
        <v>16</v>
      </c>
      <c r="C40" s="5" t="s">
        <v>65</v>
      </c>
      <c r="D40" s="5">
        <v>0</v>
      </c>
      <c r="E40" s="5">
        <v>0</v>
      </c>
      <c r="F40" s="5">
        <v>0</v>
      </c>
      <c r="G40" s="5">
        <v>0</v>
      </c>
      <c r="H40" s="5">
        <f t="shared" si="16"/>
        <v>0</v>
      </c>
      <c r="I40" s="5">
        <f t="shared" si="17"/>
        <v>0</v>
      </c>
      <c r="J40" s="7">
        <f t="shared" si="18"/>
        <v>0</v>
      </c>
      <c r="K40" s="7">
        <f t="shared" si="19"/>
        <v>0</v>
      </c>
      <c r="L40" s="7">
        <v>260</v>
      </c>
      <c r="M40" s="7">
        <f t="shared" si="20"/>
        <v>260</v>
      </c>
      <c r="O40" s="5" t="s">
        <v>66</v>
      </c>
    </row>
    <row r="41" spans="1:15">
      <c r="A41" s="6">
        <v>45778</v>
      </c>
      <c r="B41" s="5" t="s">
        <v>16</v>
      </c>
      <c r="C41" s="5" t="s">
        <v>65</v>
      </c>
      <c r="D41" s="5">
        <v>462</v>
      </c>
      <c r="E41" s="5">
        <v>458</v>
      </c>
      <c r="F41" s="5">
        <v>5152</v>
      </c>
      <c r="G41" s="5">
        <v>5102</v>
      </c>
      <c r="H41" s="5">
        <f t="shared" si="16"/>
        <v>4</v>
      </c>
      <c r="I41" s="5">
        <f t="shared" si="17"/>
        <v>50</v>
      </c>
      <c r="J41" s="7">
        <f t="shared" si="18"/>
        <v>14</v>
      </c>
      <c r="K41" s="7">
        <f t="shared" si="19"/>
        <v>50</v>
      </c>
      <c r="L41" s="7">
        <v>260</v>
      </c>
      <c r="M41" s="7">
        <f t="shared" si="20"/>
        <v>324</v>
      </c>
    </row>
    <row r="42" spans="1:15">
      <c r="A42" s="6">
        <v>45809</v>
      </c>
      <c r="B42" s="5" t="s">
        <v>16</v>
      </c>
      <c r="C42" s="5" t="s">
        <v>65</v>
      </c>
      <c r="D42" s="5">
        <v>0</v>
      </c>
      <c r="E42" s="5">
        <v>0</v>
      </c>
      <c r="F42" s="5">
        <v>0</v>
      </c>
      <c r="G42" s="5">
        <v>0</v>
      </c>
      <c r="H42" s="5">
        <f t="shared" si="16"/>
        <v>0</v>
      </c>
      <c r="I42" s="5">
        <f t="shared" si="17"/>
        <v>0</v>
      </c>
      <c r="J42" s="7">
        <f t="shared" si="18"/>
        <v>0</v>
      </c>
      <c r="K42" s="7">
        <f t="shared" si="19"/>
        <v>0</v>
      </c>
      <c r="L42" s="7">
        <v>260</v>
      </c>
      <c r="M42" s="7">
        <f t="shared" si="20"/>
        <v>260</v>
      </c>
      <c r="O42" s="5" t="s">
        <v>66</v>
      </c>
    </row>
    <row r="43" spans="1:15">
      <c r="A43" s="6">
        <v>45830</v>
      </c>
      <c r="B43" s="5" t="s">
        <v>16</v>
      </c>
      <c r="C43" s="5" t="s">
        <v>65</v>
      </c>
      <c r="D43" s="5">
        <v>463</v>
      </c>
      <c r="E43" s="5">
        <v>462</v>
      </c>
      <c r="F43" s="5">
        <v>51</v>
      </c>
      <c r="G43" s="5">
        <v>0</v>
      </c>
      <c r="H43" s="5">
        <f t="shared" si="16"/>
        <v>1</v>
      </c>
      <c r="I43" s="5">
        <f t="shared" si="17"/>
        <v>51</v>
      </c>
      <c r="J43" s="7">
        <f t="shared" si="18"/>
        <v>3.5</v>
      </c>
      <c r="K43" s="7">
        <f t="shared" si="19"/>
        <v>51</v>
      </c>
      <c r="L43" s="7">
        <v>0</v>
      </c>
      <c r="M43" s="7">
        <f t="shared" si="20"/>
        <v>54.5</v>
      </c>
      <c r="O43" s="5" t="s">
        <v>102</v>
      </c>
    </row>
    <row r="44" spans="1:15">
      <c r="A44" s="6">
        <v>45843</v>
      </c>
      <c r="B44" s="5" t="s">
        <v>100</v>
      </c>
      <c r="C44" s="5" t="s">
        <v>101</v>
      </c>
      <c r="D44" s="5">
        <v>463</v>
      </c>
      <c r="E44" s="5">
        <v>463</v>
      </c>
      <c r="F44" s="5">
        <v>51</v>
      </c>
      <c r="G44" s="5">
        <v>51</v>
      </c>
      <c r="H44" s="5">
        <f t="shared" ref="H44" si="21">D44-E44</f>
        <v>0</v>
      </c>
      <c r="I44" s="5">
        <f t="shared" ref="I44" si="22">F44-G44</f>
        <v>0</v>
      </c>
      <c r="J44" s="7">
        <f t="shared" ref="J44" si="23">H44*3.5</f>
        <v>0</v>
      </c>
      <c r="K44" s="7">
        <f t="shared" ref="K44" si="24">I44*1</f>
        <v>0</v>
      </c>
      <c r="L44" s="7">
        <v>260</v>
      </c>
      <c r="M44" s="7">
        <f t="shared" si="20"/>
        <v>260</v>
      </c>
    </row>
    <row r="45" spans="1:15">
      <c r="A45" s="6">
        <v>45856</v>
      </c>
      <c r="B45" s="5" t="s">
        <v>78</v>
      </c>
      <c r="C45" s="5" t="s">
        <v>79</v>
      </c>
      <c r="D45" s="5">
        <v>463</v>
      </c>
      <c r="E45" s="5">
        <v>463</v>
      </c>
      <c r="F45" s="5">
        <v>63</v>
      </c>
      <c r="G45" s="5">
        <v>63</v>
      </c>
      <c r="H45" s="5">
        <f t="shared" si="16"/>
        <v>0</v>
      </c>
      <c r="I45" s="5">
        <f t="shared" si="17"/>
        <v>0</v>
      </c>
      <c r="J45" s="7">
        <f t="shared" si="18"/>
        <v>0</v>
      </c>
      <c r="K45" s="7">
        <f t="shared" si="19"/>
        <v>0</v>
      </c>
      <c r="L45" s="7">
        <v>260</v>
      </c>
      <c r="M45" s="7">
        <f t="shared" si="20"/>
        <v>260</v>
      </c>
      <c r="O45" s="5" t="s">
        <v>240</v>
      </c>
    </row>
    <row r="46" spans="1:15">
      <c r="A46" s="6">
        <v>45875</v>
      </c>
      <c r="B46" s="5" t="s">
        <v>97</v>
      </c>
      <c r="C46" s="5" t="s">
        <v>98</v>
      </c>
      <c r="D46" s="5">
        <v>473</v>
      </c>
      <c r="E46" s="5">
        <v>463</v>
      </c>
      <c r="F46" s="5">
        <v>148</v>
      </c>
      <c r="G46" s="5">
        <v>63</v>
      </c>
      <c r="H46" s="5">
        <f t="shared" si="16"/>
        <v>10</v>
      </c>
      <c r="I46" s="5">
        <f t="shared" si="17"/>
        <v>85</v>
      </c>
      <c r="J46" s="7">
        <f t="shared" si="18"/>
        <v>35</v>
      </c>
      <c r="K46" s="7">
        <f t="shared" si="19"/>
        <v>85</v>
      </c>
      <c r="L46" s="7">
        <v>0</v>
      </c>
      <c r="M46" s="7">
        <f t="shared" si="20"/>
        <v>120</v>
      </c>
      <c r="O46" s="5" t="s">
        <v>241</v>
      </c>
    </row>
    <row r="47" spans="1:15">
      <c r="A47" s="6">
        <v>45882</v>
      </c>
      <c r="B47" s="5" t="s">
        <v>78</v>
      </c>
      <c r="C47" s="5" t="s">
        <v>262</v>
      </c>
      <c r="D47" s="5">
        <v>473</v>
      </c>
      <c r="E47" s="5">
        <v>473</v>
      </c>
      <c r="F47" s="5">
        <v>148</v>
      </c>
      <c r="G47" s="5">
        <v>148</v>
      </c>
      <c r="H47" s="5">
        <f t="shared" si="16"/>
        <v>0</v>
      </c>
      <c r="I47" s="5">
        <f t="shared" si="17"/>
        <v>0</v>
      </c>
      <c r="J47" s="7">
        <f t="shared" si="18"/>
        <v>0</v>
      </c>
      <c r="K47" s="7">
        <f t="shared" si="19"/>
        <v>0</v>
      </c>
      <c r="L47" s="7">
        <v>260</v>
      </c>
      <c r="M47" s="7">
        <f t="shared" si="20"/>
        <v>260</v>
      </c>
      <c r="O47" s="5" t="s">
        <v>263</v>
      </c>
    </row>
    <row r="48" spans="1:15">
      <c r="A48" s="6">
        <v>45901</v>
      </c>
      <c r="B48" s="5" t="s">
        <v>275</v>
      </c>
      <c r="C48" s="5" t="s">
        <v>276</v>
      </c>
      <c r="D48" s="5">
        <v>479</v>
      </c>
      <c r="E48" s="5">
        <v>473</v>
      </c>
      <c r="F48" s="5">
        <v>240</v>
      </c>
      <c r="G48" s="5">
        <v>148</v>
      </c>
      <c r="H48" s="5">
        <f t="shared" si="16"/>
        <v>6</v>
      </c>
      <c r="I48" s="5">
        <f t="shared" si="17"/>
        <v>92</v>
      </c>
      <c r="J48" s="7">
        <f t="shared" si="18"/>
        <v>21</v>
      </c>
      <c r="K48" s="7">
        <f t="shared" si="19"/>
        <v>92</v>
      </c>
      <c r="L48" s="7">
        <v>260</v>
      </c>
      <c r="M48" s="7">
        <f t="shared" si="20"/>
        <v>373</v>
      </c>
    </row>
    <row r="49" spans="1:15">
      <c r="A49" s="6">
        <v>45931</v>
      </c>
      <c r="B49" s="5" t="s">
        <v>78</v>
      </c>
      <c r="C49" s="5" t="s">
        <v>262</v>
      </c>
      <c r="D49" s="5">
        <v>487</v>
      </c>
      <c r="E49" s="5">
        <v>479</v>
      </c>
      <c r="F49" s="5">
        <v>353</v>
      </c>
      <c r="G49" s="5">
        <v>240</v>
      </c>
      <c r="H49" s="5">
        <f t="shared" si="16"/>
        <v>8</v>
      </c>
      <c r="I49" s="5">
        <f t="shared" si="17"/>
        <v>113</v>
      </c>
      <c r="J49" s="7">
        <f t="shared" si="18"/>
        <v>28</v>
      </c>
      <c r="K49" s="7">
        <f t="shared" si="19"/>
        <v>113</v>
      </c>
      <c r="L49" s="7">
        <v>260</v>
      </c>
      <c r="M49" s="7">
        <f t="shared" si="20"/>
        <v>401</v>
      </c>
    </row>
    <row r="50" spans="1:15">
      <c r="A50" s="6">
        <v>45962</v>
      </c>
      <c r="B50" s="5" t="s">
        <v>78</v>
      </c>
      <c r="C50" s="5" t="s">
        <v>262</v>
      </c>
      <c r="D50" s="5">
        <v>493</v>
      </c>
      <c r="E50" s="5">
        <v>487</v>
      </c>
      <c r="F50" s="5">
        <v>423</v>
      </c>
      <c r="G50" s="5">
        <v>353</v>
      </c>
      <c r="H50" s="5">
        <f t="shared" si="16"/>
        <v>6</v>
      </c>
      <c r="I50" s="5">
        <f t="shared" si="17"/>
        <v>70</v>
      </c>
      <c r="J50" s="7">
        <f t="shared" si="18"/>
        <v>21</v>
      </c>
      <c r="K50" s="7">
        <f t="shared" si="19"/>
        <v>70</v>
      </c>
      <c r="L50" s="7">
        <v>260</v>
      </c>
      <c r="M50" s="7">
        <f t="shared" si="20"/>
        <v>351</v>
      </c>
    </row>
    <row r="51" spans="1:15">
      <c r="A51" s="6">
        <v>46011</v>
      </c>
      <c r="B51" s="5" t="s">
        <v>78</v>
      </c>
      <c r="C51" s="5" t="s">
        <v>262</v>
      </c>
      <c r="D51" s="5">
        <v>493</v>
      </c>
      <c r="E51" s="5">
        <v>493</v>
      </c>
      <c r="F51" s="5">
        <v>435</v>
      </c>
      <c r="G51" s="5">
        <v>423</v>
      </c>
      <c r="H51" s="5">
        <f t="shared" si="16"/>
        <v>0</v>
      </c>
      <c r="I51" s="5">
        <f t="shared" si="17"/>
        <v>12</v>
      </c>
      <c r="J51" s="7">
        <f t="shared" si="18"/>
        <v>0</v>
      </c>
      <c r="K51" s="7">
        <f t="shared" si="19"/>
        <v>12</v>
      </c>
      <c r="L51" s="7">
        <v>172</v>
      </c>
      <c r="M51" s="7">
        <f t="shared" si="20"/>
        <v>184</v>
      </c>
      <c r="O51" s="5" t="s">
        <v>291</v>
      </c>
    </row>
    <row r="52" spans="1:15">
      <c r="A52" s="6">
        <v>46019</v>
      </c>
      <c r="B52" s="5" t="s">
        <v>78</v>
      </c>
      <c r="C52" s="5" t="s">
        <v>148</v>
      </c>
      <c r="D52" s="5">
        <v>496</v>
      </c>
      <c r="E52" s="5">
        <v>496</v>
      </c>
      <c r="F52" s="5">
        <v>435</v>
      </c>
      <c r="G52" s="5">
        <v>435</v>
      </c>
      <c r="H52" s="5">
        <f t="shared" si="16"/>
        <v>0</v>
      </c>
      <c r="I52" s="5">
        <f t="shared" si="17"/>
        <v>0</v>
      </c>
      <c r="J52" s="7">
        <f t="shared" si="18"/>
        <v>0</v>
      </c>
      <c r="K52" s="7">
        <f t="shared" si="19"/>
        <v>0</v>
      </c>
      <c r="L52" s="7">
        <v>280</v>
      </c>
      <c r="M52" s="7">
        <f t="shared" si="20"/>
        <v>280</v>
      </c>
    </row>
    <row r="53" spans="1:15">
      <c r="A53" s="6">
        <v>46054</v>
      </c>
      <c r="B53" s="5" t="s">
        <v>78</v>
      </c>
      <c r="C53" s="5" t="s">
        <v>148</v>
      </c>
      <c r="D53" s="5">
        <v>497</v>
      </c>
      <c r="E53" s="5">
        <v>496</v>
      </c>
      <c r="F53" s="5">
        <v>444</v>
      </c>
      <c r="G53" s="5">
        <v>435</v>
      </c>
      <c r="H53" s="5">
        <f t="shared" si="16"/>
        <v>1</v>
      </c>
      <c r="I53" s="5">
        <f t="shared" si="17"/>
        <v>9</v>
      </c>
      <c r="J53" s="7">
        <f t="shared" si="18"/>
        <v>3.5</v>
      </c>
      <c r="K53" s="7">
        <f t="shared" si="19"/>
        <v>9</v>
      </c>
      <c r="L53" s="7">
        <v>280</v>
      </c>
      <c r="M53" s="7">
        <f t="shared" si="20"/>
        <v>292.5</v>
      </c>
    </row>
    <row r="54" spans="1:15">
      <c r="A54" s="6">
        <v>46082</v>
      </c>
      <c r="B54" s="5" t="s">
        <v>78</v>
      </c>
      <c r="C54" s="5" t="s">
        <v>148</v>
      </c>
      <c r="D54" s="5">
        <v>0</v>
      </c>
      <c r="E54" s="5">
        <v>0</v>
      </c>
      <c r="F54" s="5">
        <v>0</v>
      </c>
      <c r="G54" s="5">
        <v>0</v>
      </c>
      <c r="H54" s="5">
        <f t="shared" si="16"/>
        <v>0</v>
      </c>
      <c r="I54" s="5">
        <f t="shared" si="17"/>
        <v>0</v>
      </c>
      <c r="J54" s="7">
        <f t="shared" si="18"/>
        <v>0</v>
      </c>
      <c r="K54" s="7">
        <f t="shared" si="19"/>
        <v>0</v>
      </c>
      <c r="L54" s="7">
        <v>280</v>
      </c>
      <c r="M54" s="7">
        <f t="shared" si="20"/>
        <v>280</v>
      </c>
    </row>
    <row r="55" spans="1:15">
      <c r="A55" s="6">
        <v>46113</v>
      </c>
      <c r="B55" s="5" t="s">
        <v>337</v>
      </c>
      <c r="C55" s="5" t="s">
        <v>338</v>
      </c>
      <c r="D55" s="5">
        <v>2</v>
      </c>
      <c r="E55" s="5">
        <v>0</v>
      </c>
      <c r="F55" s="5">
        <v>463</v>
      </c>
      <c r="G55" s="5">
        <v>444</v>
      </c>
      <c r="H55" s="5">
        <f t="shared" si="16"/>
        <v>2</v>
      </c>
      <c r="I55" s="5">
        <f t="shared" si="17"/>
        <v>19</v>
      </c>
      <c r="J55" s="7">
        <f t="shared" si="18"/>
        <v>7</v>
      </c>
      <c r="K55" s="7">
        <f t="shared" si="19"/>
        <v>19</v>
      </c>
      <c r="L55" s="7">
        <v>280</v>
      </c>
      <c r="M55" s="7">
        <f t="shared" si="20"/>
        <v>306</v>
      </c>
    </row>
    <row r="56" spans="1:15">
      <c r="A56" s="3" t="s">
        <v>108</v>
      </c>
      <c r="B56" s="4" t="s">
        <v>107</v>
      </c>
      <c r="C56" s="4" t="s">
        <v>107</v>
      </c>
      <c r="D56" s="4" t="s">
        <v>107</v>
      </c>
      <c r="E56" s="4" t="s">
        <v>107</v>
      </c>
      <c r="F56" s="4" t="s">
        <v>107</v>
      </c>
      <c r="G56" s="4" t="s">
        <v>107</v>
      </c>
      <c r="H56" s="5">
        <f t="shared" ref="H56:M56" si="25">SUBTOTAL(9,H3:H55)</f>
        <v>141</v>
      </c>
      <c r="I56" s="5">
        <f t="shared" si="25"/>
        <v>3689</v>
      </c>
      <c r="J56" s="5">
        <f t="shared" si="25"/>
        <v>493.5</v>
      </c>
      <c r="K56" s="7">
        <f t="shared" si="25"/>
        <v>3595.7000000000003</v>
      </c>
      <c r="L56" s="7">
        <f t="shared" si="25"/>
        <v>11907</v>
      </c>
      <c r="M56" s="10">
        <f t="shared" si="25"/>
        <v>15996.2</v>
      </c>
    </row>
  </sheetData>
  <mergeCells count="10">
    <mergeCell ref="L1:L2"/>
    <mergeCell ref="M1:M2"/>
    <mergeCell ref="D1:E1"/>
    <mergeCell ref="F1:G1"/>
    <mergeCell ref="H1:I1"/>
    <mergeCell ref="A1:A2"/>
    <mergeCell ref="B1:B2"/>
    <mergeCell ref="C1:C2"/>
    <mergeCell ref="J1:J2"/>
    <mergeCell ref="K1:K2"/>
  </mergeCells>
  <phoneticPr fontId="1" type="noConversion"/>
  <conditionalFormatting sqref="A1:XFD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3B38-3261-439D-950F-E6FE75EE089A}">
  <dimension ref="A1:F60"/>
  <sheetViews>
    <sheetView topLeftCell="A31" zoomScale="91" zoomScaleNormal="91" workbookViewId="0">
      <selection activeCell="B65" sqref="B65"/>
    </sheetView>
  </sheetViews>
  <sheetFormatPr baseColWidth="10" defaultColWidth="9.28515625" defaultRowHeight="18"/>
  <cols>
    <col min="1" max="1" width="16.7109375" style="6" bestFit="1" customWidth="1"/>
    <col min="2" max="2" width="114.42578125" style="5" bestFit="1" customWidth="1"/>
    <col min="3" max="3" width="13.28515625" style="10" bestFit="1" customWidth="1"/>
    <col min="4" max="4" width="10" style="5" bestFit="1" customWidth="1"/>
    <col min="5" max="16384" width="9.28515625" style="5"/>
  </cols>
  <sheetData>
    <row r="1" spans="1:4" s="12" customFormat="1" ht="20">
      <c r="A1" s="11" t="s">
        <v>116</v>
      </c>
      <c r="B1" s="12" t="s">
        <v>117</v>
      </c>
      <c r="C1" s="13" t="s">
        <v>118</v>
      </c>
      <c r="D1" s="12" t="s">
        <v>125</v>
      </c>
    </row>
    <row r="2" spans="1:4">
      <c r="A2" s="6">
        <v>45585</v>
      </c>
      <c r="B2" s="5" t="s">
        <v>131</v>
      </c>
      <c r="C2" s="10">
        <v>95</v>
      </c>
      <c r="D2" s="5" t="s">
        <v>127</v>
      </c>
    </row>
    <row r="3" spans="1:4">
      <c r="A3" s="6">
        <v>45585</v>
      </c>
      <c r="B3" s="5" t="s">
        <v>130</v>
      </c>
      <c r="C3" s="10">
        <v>1980</v>
      </c>
      <c r="D3" s="5" t="s">
        <v>127</v>
      </c>
    </row>
    <row r="4" spans="1:4">
      <c r="A4" s="6">
        <v>45599</v>
      </c>
      <c r="B4" s="5" t="s">
        <v>132</v>
      </c>
      <c r="C4" s="10">
        <v>450</v>
      </c>
      <c r="D4" s="5" t="s">
        <v>127</v>
      </c>
    </row>
    <row r="5" spans="1:4">
      <c r="A5" s="6">
        <v>45599</v>
      </c>
      <c r="B5" s="5" t="s">
        <v>133</v>
      </c>
      <c r="C5" s="10">
        <v>179</v>
      </c>
      <c r="D5" s="5" t="s">
        <v>127</v>
      </c>
    </row>
    <row r="6" spans="1:4">
      <c r="A6" s="6">
        <v>45599</v>
      </c>
      <c r="B6" s="5" t="s">
        <v>137</v>
      </c>
      <c r="C6" s="10">
        <v>3.5</v>
      </c>
      <c r="D6" s="5" t="s">
        <v>127</v>
      </c>
    </row>
    <row r="7" spans="1:4">
      <c r="A7" s="6">
        <v>45606</v>
      </c>
      <c r="B7" s="5" t="s">
        <v>138</v>
      </c>
      <c r="C7" s="10">
        <v>104</v>
      </c>
      <c r="D7" s="5" t="s">
        <v>127</v>
      </c>
    </row>
    <row r="8" spans="1:4">
      <c r="A8" s="6">
        <v>45613</v>
      </c>
      <c r="B8" s="5" t="s">
        <v>139</v>
      </c>
      <c r="C8" s="10">
        <v>536</v>
      </c>
      <c r="D8" s="5" t="s">
        <v>127</v>
      </c>
    </row>
    <row r="9" spans="1:4">
      <c r="A9" s="6">
        <v>45627</v>
      </c>
      <c r="B9" s="5" t="s">
        <v>140</v>
      </c>
      <c r="C9" s="10">
        <v>3</v>
      </c>
      <c r="D9" s="5" t="s">
        <v>127</v>
      </c>
    </row>
    <row r="10" spans="1:4">
      <c r="A10" s="6">
        <v>45655</v>
      </c>
      <c r="B10" s="5" t="s">
        <v>119</v>
      </c>
      <c r="C10" s="10">
        <v>280</v>
      </c>
      <c r="D10" s="5" t="s">
        <v>127</v>
      </c>
    </row>
    <row r="11" spans="1:4">
      <c r="A11" s="6">
        <v>45655</v>
      </c>
      <c r="B11" s="5" t="s">
        <v>120</v>
      </c>
      <c r="C11" s="10">
        <v>500</v>
      </c>
      <c r="D11" s="5" t="s">
        <v>127</v>
      </c>
    </row>
    <row r="12" spans="1:4">
      <c r="A12" s="6">
        <v>45658</v>
      </c>
      <c r="B12" s="5" t="s">
        <v>195</v>
      </c>
      <c r="C12" s="10">
        <v>36</v>
      </c>
      <c r="D12" s="5" t="s">
        <v>127</v>
      </c>
    </row>
    <row r="13" spans="1:4">
      <c r="A13" s="6">
        <v>45658</v>
      </c>
      <c r="B13" s="5" t="s">
        <v>196</v>
      </c>
      <c r="C13" s="10">
        <v>70</v>
      </c>
      <c r="D13" s="5" t="s">
        <v>127</v>
      </c>
    </row>
    <row r="14" spans="1:4">
      <c r="A14" s="6">
        <v>45658</v>
      </c>
      <c r="B14" s="5" t="s">
        <v>197</v>
      </c>
      <c r="C14" s="10">
        <v>5</v>
      </c>
      <c r="D14" s="5" t="s">
        <v>127</v>
      </c>
    </row>
    <row r="15" spans="1:4">
      <c r="A15" s="6">
        <v>45662</v>
      </c>
      <c r="B15" s="5" t="s">
        <v>198</v>
      </c>
      <c r="C15" s="10">
        <v>70</v>
      </c>
      <c r="D15" s="5" t="s">
        <v>127</v>
      </c>
    </row>
    <row r="16" spans="1:4">
      <c r="A16" s="6">
        <v>45669</v>
      </c>
      <c r="B16" s="5" t="s">
        <v>123</v>
      </c>
      <c r="C16" s="10">
        <v>255</v>
      </c>
      <c r="D16" s="5" t="s">
        <v>127</v>
      </c>
    </row>
    <row r="17" spans="1:4">
      <c r="A17" s="6">
        <v>45669</v>
      </c>
      <c r="B17" s="5" t="s">
        <v>199</v>
      </c>
      <c r="C17" s="10">
        <v>210</v>
      </c>
      <c r="D17" s="5" t="s">
        <v>127</v>
      </c>
    </row>
    <row r="18" spans="1:4">
      <c r="A18" s="6">
        <v>45669</v>
      </c>
      <c r="B18" s="5" t="s">
        <v>200</v>
      </c>
      <c r="C18" s="10">
        <v>446</v>
      </c>
      <c r="D18" s="5" t="s">
        <v>127</v>
      </c>
    </row>
    <row r="19" spans="1:4">
      <c r="A19" s="6">
        <v>45676</v>
      </c>
      <c r="B19" s="5" t="s">
        <v>131</v>
      </c>
      <c r="C19" s="10">
        <v>24</v>
      </c>
      <c r="D19" s="5" t="s">
        <v>127</v>
      </c>
    </row>
    <row r="20" spans="1:4">
      <c r="A20" s="6">
        <v>45682</v>
      </c>
      <c r="B20" s="5" t="s">
        <v>201</v>
      </c>
      <c r="C20" s="10">
        <v>370</v>
      </c>
      <c r="D20" s="5" t="s">
        <v>127</v>
      </c>
    </row>
    <row r="21" spans="1:4">
      <c r="A21" s="6">
        <v>45684</v>
      </c>
      <c r="B21" s="5" t="s">
        <v>134</v>
      </c>
      <c r="C21" s="10">
        <v>40</v>
      </c>
      <c r="D21" s="5" t="s">
        <v>127</v>
      </c>
    </row>
    <row r="22" spans="1:4">
      <c r="A22" s="6">
        <v>45711</v>
      </c>
      <c r="B22" s="5" t="s">
        <v>135</v>
      </c>
      <c r="C22" s="10">
        <v>490</v>
      </c>
      <c r="D22" s="5" t="s">
        <v>127</v>
      </c>
    </row>
    <row r="23" spans="1:4">
      <c r="A23" s="6">
        <v>45718</v>
      </c>
      <c r="B23" s="5" t="s">
        <v>122</v>
      </c>
      <c r="C23" s="10">
        <v>92.98</v>
      </c>
      <c r="D23" s="5" t="s">
        <v>127</v>
      </c>
    </row>
    <row r="24" spans="1:4">
      <c r="A24" s="6">
        <v>45721</v>
      </c>
      <c r="B24" s="5" t="s">
        <v>123</v>
      </c>
      <c r="C24" s="10">
        <v>255</v>
      </c>
      <c r="D24" s="5" t="s">
        <v>127</v>
      </c>
    </row>
    <row r="25" spans="1:4">
      <c r="A25" s="6">
        <v>45722</v>
      </c>
      <c r="B25" s="5" t="s">
        <v>245</v>
      </c>
      <c r="C25" s="10">
        <v>331.95</v>
      </c>
      <c r="D25" s="5" t="s">
        <v>127</v>
      </c>
    </row>
    <row r="26" spans="1:4">
      <c r="A26" s="6">
        <v>45722</v>
      </c>
      <c r="B26" s="5" t="s">
        <v>244</v>
      </c>
      <c r="C26" s="10">
        <v>119.7</v>
      </c>
      <c r="D26" s="5" t="s">
        <v>127</v>
      </c>
    </row>
    <row r="27" spans="1:4">
      <c r="A27" s="6">
        <v>45725</v>
      </c>
      <c r="B27" s="5" t="s">
        <v>136</v>
      </c>
      <c r="C27" s="10">
        <v>230</v>
      </c>
      <c r="D27" s="5" t="s">
        <v>127</v>
      </c>
    </row>
    <row r="28" spans="1:4">
      <c r="A28" s="6">
        <v>45739</v>
      </c>
      <c r="B28" s="5" t="s">
        <v>131</v>
      </c>
      <c r="C28" s="10">
        <v>29</v>
      </c>
      <c r="D28" s="5" t="s">
        <v>127</v>
      </c>
    </row>
    <row r="29" spans="1:4" ht="19">
      <c r="A29" s="6">
        <v>45751</v>
      </c>
      <c r="B29" s="14" t="s">
        <v>247</v>
      </c>
      <c r="C29" s="10">
        <v>1448</v>
      </c>
      <c r="D29" s="5" t="s">
        <v>127</v>
      </c>
    </row>
    <row r="30" spans="1:4" ht="19">
      <c r="A30" s="6">
        <v>45751</v>
      </c>
      <c r="B30" s="14" t="s">
        <v>248</v>
      </c>
      <c r="C30" s="10">
        <v>1954.15</v>
      </c>
      <c r="D30" s="5" t="s">
        <v>127</v>
      </c>
    </row>
    <row r="31" spans="1:4" ht="19">
      <c r="A31" s="6">
        <v>45751</v>
      </c>
      <c r="B31" s="14" t="s">
        <v>249</v>
      </c>
      <c r="C31" s="10">
        <v>382.85</v>
      </c>
      <c r="D31" s="5" t="s">
        <v>127</v>
      </c>
    </row>
    <row r="32" spans="1:4" ht="19">
      <c r="A32" s="6">
        <v>45751</v>
      </c>
      <c r="B32" s="14" t="s">
        <v>250</v>
      </c>
      <c r="C32" s="10">
        <v>145</v>
      </c>
      <c r="D32" s="5" t="s">
        <v>127</v>
      </c>
    </row>
    <row r="33" spans="1:4" ht="19">
      <c r="A33" s="6">
        <v>45751</v>
      </c>
      <c r="B33" s="14" t="s">
        <v>246</v>
      </c>
      <c r="C33" s="10">
        <v>35.15</v>
      </c>
      <c r="D33" s="5" t="s">
        <v>127</v>
      </c>
    </row>
    <row r="34" spans="1:4" ht="19">
      <c r="A34" s="6">
        <v>45752</v>
      </c>
      <c r="B34" s="14" t="s">
        <v>131</v>
      </c>
      <c r="C34" s="10">
        <v>45</v>
      </c>
      <c r="D34" s="5" t="s">
        <v>127</v>
      </c>
    </row>
    <row r="35" spans="1:4" ht="19">
      <c r="A35" s="6">
        <v>45753</v>
      </c>
      <c r="B35" s="14" t="s">
        <v>251</v>
      </c>
      <c r="C35" s="10">
        <v>168</v>
      </c>
      <c r="D35" s="5" t="s">
        <v>127</v>
      </c>
    </row>
    <row r="36" spans="1:4" ht="19">
      <c r="A36" s="6">
        <v>45760</v>
      </c>
      <c r="B36" s="14" t="s">
        <v>131</v>
      </c>
      <c r="C36" s="10">
        <v>13</v>
      </c>
      <c r="D36" s="5" t="s">
        <v>127</v>
      </c>
    </row>
    <row r="37" spans="1:4" ht="19">
      <c r="A37" s="6">
        <v>45766</v>
      </c>
      <c r="B37" s="14" t="s">
        <v>252</v>
      </c>
      <c r="C37" s="10">
        <v>66.8</v>
      </c>
      <c r="D37" s="5" t="s">
        <v>127</v>
      </c>
    </row>
    <row r="38" spans="1:4" ht="19">
      <c r="A38" s="6">
        <v>45766</v>
      </c>
      <c r="B38" s="14" t="s">
        <v>243</v>
      </c>
      <c r="C38" s="10">
        <v>154.80000000000001</v>
      </c>
      <c r="D38" s="5" t="s">
        <v>127</v>
      </c>
    </row>
    <row r="39" spans="1:4" ht="19">
      <c r="A39" s="6">
        <v>45766</v>
      </c>
      <c r="B39" s="14" t="s">
        <v>253</v>
      </c>
      <c r="C39" s="10">
        <v>845</v>
      </c>
      <c r="D39" s="5" t="s">
        <v>127</v>
      </c>
    </row>
    <row r="40" spans="1:4" ht="19">
      <c r="A40" s="6">
        <v>45780</v>
      </c>
      <c r="B40" s="14" t="s">
        <v>254</v>
      </c>
      <c r="C40" s="10">
        <v>360</v>
      </c>
      <c r="D40" s="5" t="s">
        <v>127</v>
      </c>
    </row>
    <row r="41" spans="1:4" ht="19">
      <c r="A41" s="6">
        <v>45780</v>
      </c>
      <c r="B41" s="14" t="s">
        <v>255</v>
      </c>
      <c r="C41" s="10">
        <v>36</v>
      </c>
      <c r="D41" s="5" t="s">
        <v>127</v>
      </c>
    </row>
    <row r="42" spans="1:4" ht="19">
      <c r="A42" s="6">
        <v>45811</v>
      </c>
      <c r="B42" s="14" t="s">
        <v>256</v>
      </c>
      <c r="C42" s="10">
        <v>142</v>
      </c>
      <c r="D42" s="5" t="s">
        <v>127</v>
      </c>
    </row>
    <row r="43" spans="1:4" ht="19">
      <c r="A43" s="6">
        <v>45865</v>
      </c>
      <c r="B43" s="14" t="s">
        <v>257</v>
      </c>
      <c r="C43" s="10">
        <v>70</v>
      </c>
      <c r="D43" s="5" t="s">
        <v>127</v>
      </c>
    </row>
    <row r="44" spans="1:4" ht="19">
      <c r="A44" s="6">
        <v>45906</v>
      </c>
      <c r="B44" s="14" t="s">
        <v>278</v>
      </c>
      <c r="C44" s="10">
        <v>714</v>
      </c>
      <c r="D44" s="5" t="s">
        <v>127</v>
      </c>
    </row>
    <row r="45" spans="1:4" ht="19">
      <c r="A45" s="6">
        <v>45934</v>
      </c>
      <c r="B45" s="14" t="s">
        <v>281</v>
      </c>
      <c r="C45" s="10">
        <v>350</v>
      </c>
      <c r="D45" s="5" t="s">
        <v>127</v>
      </c>
    </row>
    <row r="46" spans="1:4" ht="19">
      <c r="A46" s="6">
        <v>45966</v>
      </c>
      <c r="B46" s="14" t="s">
        <v>285</v>
      </c>
      <c r="C46" s="10">
        <v>950</v>
      </c>
      <c r="D46" s="5" t="s">
        <v>127</v>
      </c>
    </row>
    <row r="47" spans="1:4" ht="57">
      <c r="A47" s="6">
        <v>45970</v>
      </c>
      <c r="B47" s="14" t="s">
        <v>286</v>
      </c>
      <c r="C47" s="10">
        <v>369</v>
      </c>
      <c r="D47" s="5" t="s">
        <v>127</v>
      </c>
    </row>
    <row r="48" spans="1:4" ht="19">
      <c r="A48" s="6">
        <v>46023</v>
      </c>
      <c r="B48" s="14" t="s">
        <v>304</v>
      </c>
      <c r="C48" s="23">
        <v>88</v>
      </c>
      <c r="D48" s="5" t="s">
        <v>127</v>
      </c>
    </row>
    <row r="49" spans="1:6" ht="19">
      <c r="A49" s="6">
        <v>46050</v>
      </c>
      <c r="B49" s="14" t="s">
        <v>310</v>
      </c>
      <c r="C49" s="23">
        <v>1797</v>
      </c>
      <c r="D49" s="5" t="s">
        <v>127</v>
      </c>
    </row>
    <row r="50" spans="1:6" ht="19">
      <c r="A50" s="6">
        <v>46050</v>
      </c>
      <c r="B50" s="14" t="s">
        <v>311</v>
      </c>
      <c r="C50" s="23">
        <v>145</v>
      </c>
      <c r="D50" s="5" t="s">
        <v>127</v>
      </c>
    </row>
    <row r="51" spans="1:6" ht="19">
      <c r="A51" s="6">
        <v>46054</v>
      </c>
      <c r="B51" s="14" t="s">
        <v>312</v>
      </c>
      <c r="C51" s="23">
        <v>69.319999999999993</v>
      </c>
      <c r="D51" s="5" t="s">
        <v>127</v>
      </c>
    </row>
    <row r="52" spans="1:6" ht="19">
      <c r="A52" s="6">
        <v>46061</v>
      </c>
      <c r="B52" s="14" t="s">
        <v>309</v>
      </c>
      <c r="C52" s="23">
        <v>1197</v>
      </c>
      <c r="D52" s="5" t="s">
        <v>127</v>
      </c>
    </row>
    <row r="53" spans="1:6" ht="19">
      <c r="A53" s="6">
        <v>46072</v>
      </c>
      <c r="B53" s="14" t="s">
        <v>251</v>
      </c>
      <c r="C53" s="23">
        <v>610.78</v>
      </c>
      <c r="D53" s="5" t="s">
        <v>127</v>
      </c>
    </row>
    <row r="54" spans="1:6" ht="38">
      <c r="A54" s="6">
        <v>46075</v>
      </c>
      <c r="B54" s="14" t="s">
        <v>305</v>
      </c>
      <c r="C54" s="23">
        <v>973</v>
      </c>
      <c r="D54" s="5" t="s">
        <v>127</v>
      </c>
    </row>
    <row r="55" spans="1:6" ht="19">
      <c r="A55" s="6">
        <v>46077</v>
      </c>
      <c r="B55" s="14" t="s">
        <v>307</v>
      </c>
      <c r="C55" s="23">
        <v>175.18</v>
      </c>
      <c r="D55" s="5" t="s">
        <v>127</v>
      </c>
    </row>
    <row r="56" spans="1:6" ht="19">
      <c r="A56" s="6">
        <v>46081</v>
      </c>
      <c r="B56" s="14" t="s">
        <v>306</v>
      </c>
      <c r="C56" s="23">
        <v>19.46</v>
      </c>
      <c r="D56" s="5" t="s">
        <v>127</v>
      </c>
    </row>
    <row r="57" spans="1:6" ht="19">
      <c r="A57" s="6">
        <v>46081</v>
      </c>
      <c r="B57" s="14" t="s">
        <v>308</v>
      </c>
      <c r="C57" s="23">
        <v>98</v>
      </c>
      <c r="D57" s="5" t="s">
        <v>127</v>
      </c>
    </row>
    <row r="58" spans="1:6">
      <c r="A58" s="6" t="s">
        <v>121</v>
      </c>
      <c r="C58" s="10">
        <f>SUBTOTAL(9,C2:C57)</f>
        <v>20626.619999999995</v>
      </c>
    </row>
    <row r="60" spans="1:6" ht="20">
      <c r="F60" s="1"/>
    </row>
  </sheetData>
  <autoFilter ref="A1:D43" xr:uid="{31993B38-3261-439D-950F-E6FE75EE089A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9FBD0F-101F-EC4C-B909-E670FFF8FC9F}">
          <x14:formula1>
            <xm:f>综合类别!$A$2:$A$3</xm:f>
          </x14:formula1>
          <xm:sqref>D2:D57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0DCE-8227-C64E-BAC3-FBDA99BCE356}">
  <dimension ref="A1:D15"/>
  <sheetViews>
    <sheetView workbookViewId="0">
      <selection activeCell="A11" sqref="A11"/>
    </sheetView>
  </sheetViews>
  <sheetFormatPr baseColWidth="10" defaultColWidth="11.140625" defaultRowHeight="20"/>
  <cols>
    <col min="1" max="1" width="19.140625" style="1" bestFit="1" customWidth="1"/>
    <col min="2" max="2" width="26.85546875" style="1" bestFit="1" customWidth="1"/>
    <col min="3" max="3" width="13.7109375" style="1" bestFit="1" customWidth="1"/>
    <col min="4" max="4" width="15.140625" style="1" bestFit="1" customWidth="1"/>
    <col min="5" max="16384" width="11.140625" style="1"/>
  </cols>
  <sheetData>
    <row r="1" spans="1:4" ht="24">
      <c r="A1" s="17" t="s">
        <v>116</v>
      </c>
      <c r="B1" s="18" t="s">
        <v>117</v>
      </c>
      <c r="C1" s="19" t="s">
        <v>118</v>
      </c>
      <c r="D1" s="18" t="s">
        <v>125</v>
      </c>
    </row>
    <row r="2" spans="1:4">
      <c r="A2" s="15">
        <v>45425</v>
      </c>
      <c r="B2" s="1" t="s">
        <v>258</v>
      </c>
      <c r="C2" s="2">
        <v>190</v>
      </c>
      <c r="D2" s="1" t="s">
        <v>129</v>
      </c>
    </row>
    <row r="3" spans="1:4">
      <c r="A3" s="15">
        <v>45428</v>
      </c>
      <c r="B3" s="1" t="s">
        <v>216</v>
      </c>
      <c r="C3" s="2">
        <v>50</v>
      </c>
      <c r="D3" s="1" t="s">
        <v>129</v>
      </c>
    </row>
    <row r="4" spans="1:4">
      <c r="A4" s="15">
        <v>45508</v>
      </c>
      <c r="B4" s="1" t="s">
        <v>185</v>
      </c>
      <c r="C4" s="2">
        <v>43</v>
      </c>
      <c r="D4" s="1" t="s">
        <v>129</v>
      </c>
    </row>
    <row r="5" spans="1:4">
      <c r="A5" s="15">
        <v>45613</v>
      </c>
      <c r="B5" s="1" t="s">
        <v>259</v>
      </c>
      <c r="C5" s="2">
        <v>300</v>
      </c>
      <c r="D5" s="1" t="s">
        <v>129</v>
      </c>
    </row>
    <row r="6" spans="1:4">
      <c r="A6" s="15">
        <v>45662</v>
      </c>
      <c r="B6" s="1" t="s">
        <v>260</v>
      </c>
      <c r="C6" s="2">
        <v>135</v>
      </c>
      <c r="D6" s="1" t="s">
        <v>129</v>
      </c>
    </row>
    <row r="7" spans="1:4">
      <c r="A7" s="15">
        <v>45669</v>
      </c>
      <c r="B7" s="1" t="s">
        <v>181</v>
      </c>
      <c r="C7" s="2">
        <v>200</v>
      </c>
      <c r="D7" s="1" t="s">
        <v>129</v>
      </c>
    </row>
    <row r="8" spans="1:4">
      <c r="A8" s="15">
        <v>45731</v>
      </c>
      <c r="B8" s="1" t="s">
        <v>185</v>
      </c>
      <c r="C8" s="2">
        <v>100</v>
      </c>
      <c r="D8" s="1" t="s">
        <v>129</v>
      </c>
    </row>
    <row r="9" spans="1:4" ht="21">
      <c r="A9" s="15">
        <v>45830</v>
      </c>
      <c r="B9" s="16" t="s">
        <v>124</v>
      </c>
      <c r="C9" s="2">
        <v>186</v>
      </c>
      <c r="D9" s="1" t="s">
        <v>129</v>
      </c>
    </row>
    <row r="10" spans="1:4" ht="21">
      <c r="A10" s="15">
        <v>45844</v>
      </c>
      <c r="B10" s="16" t="s">
        <v>260</v>
      </c>
      <c r="C10" s="2">
        <v>460</v>
      </c>
      <c r="D10" s="1" t="s">
        <v>129</v>
      </c>
    </row>
    <row r="11" spans="1:4" ht="21">
      <c r="A11" s="15">
        <v>45859</v>
      </c>
      <c r="B11" s="16" t="s">
        <v>261</v>
      </c>
      <c r="C11" s="2">
        <v>101</v>
      </c>
      <c r="D11" s="1" t="s">
        <v>129</v>
      </c>
    </row>
    <row r="12" spans="1:4" ht="21">
      <c r="A12" s="15">
        <v>45875</v>
      </c>
      <c r="B12" s="16" t="s">
        <v>124</v>
      </c>
      <c r="C12" s="2">
        <v>80</v>
      </c>
      <c r="D12" s="1" t="s">
        <v>129</v>
      </c>
    </row>
    <row r="13" spans="1:4" ht="21">
      <c r="A13" s="15">
        <v>46011</v>
      </c>
      <c r="B13" s="16" t="s">
        <v>124</v>
      </c>
      <c r="C13" s="2">
        <v>15</v>
      </c>
      <c r="D13" s="1" t="s">
        <v>129</v>
      </c>
    </row>
    <row r="14" spans="1:4" ht="21">
      <c r="A14" s="15">
        <v>46045</v>
      </c>
      <c r="B14" s="16" t="s">
        <v>181</v>
      </c>
      <c r="C14" s="2">
        <v>179</v>
      </c>
      <c r="D14" s="1" t="s">
        <v>129</v>
      </c>
    </row>
    <row r="15" spans="1:4">
      <c r="A15" s="15" t="s">
        <v>121</v>
      </c>
      <c r="C15" s="2">
        <f>SUBTOTAL(9,C2:C14)</f>
        <v>2039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057520-D5E3-3C44-9692-441677935F01}">
          <x14:formula1>
            <xm:f>综合类别!$A$2:$A$3</xm:f>
          </x14:formula1>
          <xm:sqref>D2:D14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6E96E-E575-2D4E-9444-164145D39D98}">
  <dimension ref="A1:A3"/>
  <sheetViews>
    <sheetView tabSelected="1" workbookViewId="0">
      <selection activeCell="C1" sqref="C1"/>
    </sheetView>
  </sheetViews>
  <sheetFormatPr baseColWidth="10" defaultColWidth="11.140625" defaultRowHeight="18"/>
  <cols>
    <col min="1" max="1" width="12.7109375" style="21" bestFit="1" customWidth="1"/>
    <col min="2" max="16384" width="11.140625" style="21"/>
  </cols>
  <sheetData>
    <row r="1" spans="1:1">
      <c r="A1" s="21" t="s">
        <v>126</v>
      </c>
    </row>
    <row r="2" spans="1:1">
      <c r="A2" s="21" t="s">
        <v>128</v>
      </c>
    </row>
    <row r="3" spans="1:1">
      <c r="A3" s="21" t="s">
        <v>242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9-102#</vt:lpstr>
      <vt:lpstr>9-1-101#</vt:lpstr>
      <vt:lpstr>9-1-102#</vt:lpstr>
      <vt:lpstr>9-1-104#</vt:lpstr>
      <vt:lpstr>9-1-105#</vt:lpstr>
      <vt:lpstr>9-1-106#</vt:lpstr>
      <vt:lpstr>9-1-107#</vt:lpstr>
      <vt:lpstr>9-1-108#</vt:lpstr>
      <vt:lpstr>9-1-109#</vt:lpstr>
      <vt:lpstr>29-1#</vt:lpstr>
      <vt:lpstr>29-201#</vt:lpstr>
      <vt:lpstr>29-202#</vt:lpstr>
      <vt:lpstr>29-203#</vt:lpstr>
      <vt:lpstr>29-204#</vt:lpstr>
      <vt:lpstr>29-205#</vt:lpstr>
      <vt:lpstr>29-301#</vt:lpstr>
      <vt:lpstr>29-302#</vt:lpstr>
      <vt:lpstr>29-303#</vt:lpstr>
      <vt:lpstr>29-304#</vt:lpstr>
      <vt:lpstr>29-305#</vt:lpstr>
      <vt:lpstr>支出统计</vt:lpstr>
      <vt:lpstr>退租记录</vt:lpstr>
      <vt:lpstr>综合类别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ruixiang xie</dc:creator>
  <cp:lastModifiedBy>ruixiang xie</cp:lastModifiedBy>
  <cp:revision>4</cp:revision>
  <cp:lastPrinted>2025-08-05T06:20:19Z</cp:lastPrinted>
  <dcterms:created xsi:type="dcterms:W3CDTF">2024-09-07T18:16:00Z</dcterms:created>
  <dcterms:modified xsi:type="dcterms:W3CDTF">2026-04-05T10:33:47Z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BAA5AF461533B1C4896A1368B9CF3EF1_42</vt:lpwstr>
  </property>
  <property fmtid="{D5CDD505-2E9C-101B-9397-08002B2CF9AE}" pid="3" name="KSOProductBuildVer">
    <vt:lpwstr>2052-7.4.1.8983</vt:lpwstr>
  </property>
</Properties>
</file>